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saac.mwesigwa\Downloads\"/>
    </mc:Choice>
  </mc:AlternateContent>
  <xr:revisionPtr revIDLastSave="0" documentId="13_ncr:1_{BD18F5F3-B6FC-4EE2-8F32-C4518A8C38E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 Data" sheetId="3" r:id="rId1"/>
    <sheet name="Clean_Working" sheetId="2" r:id="rId2"/>
    <sheet name="Completeness_Audit" sheetId="8" r:id="rId3"/>
    <sheet name="Validation_Audit" sheetId="9" r:id="rId4"/>
    <sheet name="Outlier_Audit" sheetId="12" r:id="rId5"/>
    <sheet name="EDA_Overview" sheetId="10" r:id="rId6"/>
    <sheet name="EDA_Performance" sheetId="11" r:id="rId7"/>
    <sheet name="EDA_Finance" sheetId="15" r:id="rId8"/>
    <sheet name="EDA_Constraints" sheetId="16" r:id="rId9"/>
    <sheet name="Variable_Dictionary" sheetId="4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6" l="1" a="1"/>
  <c r="C22" i="16" s="1"/>
  <c r="D22" i="16" s="1"/>
  <c r="B22" i="16" a="1"/>
  <c r="B22" i="16" s="1"/>
  <c r="C21" i="16" a="1"/>
  <c r="C21" i="16" s="1"/>
  <c r="B21" i="16" a="1"/>
  <c r="B21" i="16" s="1"/>
  <c r="C20" i="16"/>
  <c r="B20" i="16"/>
  <c r="C12" i="16"/>
  <c r="B12" i="16"/>
  <c r="C13" i="16"/>
  <c r="B13" i="16"/>
  <c r="C14" i="16"/>
  <c r="C15" i="16"/>
  <c r="B15" i="16"/>
  <c r="B14" i="16"/>
  <c r="C8" i="16" a="1"/>
  <c r="C8" i="16" s="1"/>
  <c r="B8" i="16" a="1"/>
  <c r="B8" i="16" s="1"/>
  <c r="B6" i="16" a="1"/>
  <c r="B6" i="16" s="1"/>
  <c r="C7" i="16" a="1"/>
  <c r="C7" i="16" s="1"/>
  <c r="B7" i="16" a="1"/>
  <c r="B7" i="16" s="1"/>
  <c r="C6" i="16" a="1"/>
  <c r="C6" i="16" s="1"/>
  <c r="C5" i="16" a="1"/>
  <c r="C5" i="16" s="1"/>
  <c r="B5" i="16" a="1"/>
  <c r="B5" i="16" s="1"/>
  <c r="C42" i="15"/>
  <c r="B42" i="15"/>
  <c r="C41" i="15"/>
  <c r="B41" i="15"/>
  <c r="C40" i="15"/>
  <c r="B40" i="15"/>
  <c r="D40" i="15" s="1"/>
  <c r="D25" i="15"/>
  <c r="C25" i="15"/>
  <c r="B25" i="15"/>
  <c r="D24" i="15"/>
  <c r="C24" i="15" a="1"/>
  <c r="C24" i="15" s="1"/>
  <c r="B24" i="15" a="1"/>
  <c r="B24" i="15" s="1"/>
  <c r="D23" i="15"/>
  <c r="C23" i="15" a="1"/>
  <c r="C23" i="15" s="1"/>
  <c r="B23" i="15" a="1"/>
  <c r="B23" i="15" s="1"/>
  <c r="D22" i="15"/>
  <c r="C22" i="15"/>
  <c r="B22" i="15"/>
  <c r="C12" i="15" a="1"/>
  <c r="C12" i="15" s="1"/>
  <c r="B12" i="15" a="1"/>
  <c r="B12" i="15" s="1"/>
  <c r="C11" i="15"/>
  <c r="B11" i="15"/>
  <c r="C10" i="15"/>
  <c r="B10" i="15"/>
  <c r="C6" i="15" a="1"/>
  <c r="C6" i="15" s="1"/>
  <c r="B5" i="15" a="1"/>
  <c r="B5" i="15" s="1"/>
  <c r="B6" i="15" a="1"/>
  <c r="B6" i="15" s="1"/>
  <c r="C5" i="15" a="1"/>
  <c r="C5" i="15" s="1"/>
  <c r="AZ32" i="2"/>
  <c r="AZ33" i="2"/>
  <c r="AZ36" i="2"/>
  <c r="AZ41" i="2"/>
  <c r="AZ43" i="2"/>
  <c r="AZ47" i="2"/>
  <c r="AZ76" i="2"/>
  <c r="AZ80" i="2"/>
  <c r="AZ95" i="2"/>
  <c r="AZ109" i="2"/>
  <c r="AZ129" i="2"/>
  <c r="AZ130" i="2"/>
  <c r="AZ132" i="2"/>
  <c r="AZ135" i="2"/>
  <c r="AZ136" i="2"/>
  <c r="AZ138" i="2"/>
  <c r="AZ147" i="2"/>
  <c r="AZ152" i="2"/>
  <c r="AZ162" i="2"/>
  <c r="AZ163" i="2"/>
  <c r="AZ167" i="2"/>
  <c r="AZ179" i="2"/>
  <c r="AZ180" i="2"/>
  <c r="AZ194" i="2"/>
  <c r="AZ196" i="2"/>
  <c r="AZ198" i="2"/>
  <c r="AZ203" i="2"/>
  <c r="AZ204" i="2"/>
  <c r="AZ208" i="2"/>
  <c r="AZ210" i="2"/>
  <c r="AZ214" i="2"/>
  <c r="F6" i="12"/>
  <c r="F5" i="12"/>
  <c r="F4" i="12"/>
  <c r="F3" i="12"/>
  <c r="E6" i="12"/>
  <c r="E5" i="12"/>
  <c r="E4" i="12"/>
  <c r="E3" i="12"/>
  <c r="D6" i="12"/>
  <c r="D5" i="12"/>
  <c r="D4" i="12"/>
  <c r="D3" i="12"/>
  <c r="E2" i="12"/>
  <c r="C6" i="12"/>
  <c r="C5" i="12"/>
  <c r="C4" i="12"/>
  <c r="C3" i="12"/>
  <c r="C2" i="12"/>
  <c r="F2" i="12"/>
  <c r="D2" i="12"/>
  <c r="B6" i="12"/>
  <c r="B5" i="12"/>
  <c r="B4" i="12"/>
  <c r="B3" i="12"/>
  <c r="B2" i="12"/>
  <c r="C8" i="10"/>
  <c r="C7" i="10"/>
  <c r="C6" i="10"/>
  <c r="C5" i="10"/>
  <c r="C4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F2" i="9"/>
  <c r="E2" i="9"/>
  <c r="C9" i="8"/>
  <c r="C8" i="8"/>
  <c r="C7" i="8"/>
  <c r="C6" i="8"/>
  <c r="C5" i="8"/>
  <c r="C4" i="8"/>
  <c r="C3" i="8"/>
  <c r="C2" i="8"/>
  <c r="B3" i="8"/>
  <c r="B4" i="8"/>
  <c r="B5" i="8"/>
  <c r="B6" i="8"/>
  <c r="B7" i="8"/>
  <c r="B8" i="8"/>
  <c r="B9" i="8"/>
  <c r="B2" i="8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Y218" i="2" s="1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Y217" i="2" s="1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Y216" i="2" s="1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Y215" i="2" s="1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Y214" i="2" s="1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Y213" i="2" s="1"/>
  <c r="AV212" i="2"/>
  <c r="AU212" i="2"/>
  <c r="AT212" i="2"/>
  <c r="AS212" i="2"/>
  <c r="AR212" i="2"/>
  <c r="AQ212" i="2"/>
  <c r="AP212" i="2"/>
  <c r="AO212" i="2"/>
  <c r="AN212" i="2"/>
  <c r="AM212" i="2"/>
  <c r="AW212" i="2" s="1"/>
  <c r="AL212" i="2"/>
  <c r="AY212" i="2" s="1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Y211" i="2" s="1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Y210" i="2" s="1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Y209" i="2" s="1"/>
  <c r="AV208" i="2"/>
  <c r="AU208" i="2"/>
  <c r="AT208" i="2"/>
  <c r="AS208" i="2"/>
  <c r="AR208" i="2"/>
  <c r="AQ208" i="2"/>
  <c r="AP208" i="2"/>
  <c r="AO208" i="2"/>
  <c r="AN208" i="2"/>
  <c r="AM208" i="2"/>
  <c r="AW208" i="2" s="1"/>
  <c r="AL208" i="2"/>
  <c r="AY208" i="2" s="1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Y207" i="2" s="1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Y206" i="2" s="1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Y205" i="2" s="1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Y204" i="2" s="1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Y203" i="2" s="1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Y202" i="2" s="1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Y201" i="2" s="1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Y200" i="2" s="1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Y199" i="2" s="1"/>
  <c r="AV198" i="2"/>
  <c r="AU198" i="2"/>
  <c r="AT198" i="2"/>
  <c r="AS198" i="2"/>
  <c r="AR198" i="2"/>
  <c r="AQ198" i="2"/>
  <c r="AP198" i="2"/>
  <c r="AO198" i="2"/>
  <c r="AN198" i="2"/>
  <c r="AM198" i="2"/>
  <c r="AW198" i="2" s="1"/>
  <c r="AL198" i="2"/>
  <c r="AY198" i="2" s="1"/>
  <c r="AV197" i="2"/>
  <c r="AU197" i="2"/>
  <c r="AT197" i="2"/>
  <c r="AS197" i="2"/>
  <c r="AR197" i="2"/>
  <c r="AQ197" i="2"/>
  <c r="AP197" i="2"/>
  <c r="AO197" i="2"/>
  <c r="AN197" i="2"/>
  <c r="AM197" i="2"/>
  <c r="AW197" i="2" s="1"/>
  <c r="AL197" i="2"/>
  <c r="AY197" i="2" s="1"/>
  <c r="AV196" i="2"/>
  <c r="AU196" i="2"/>
  <c r="AT196" i="2"/>
  <c r="AS196" i="2"/>
  <c r="AR196" i="2"/>
  <c r="AQ196" i="2"/>
  <c r="AP196" i="2"/>
  <c r="AO196" i="2"/>
  <c r="AN196" i="2"/>
  <c r="AM196" i="2"/>
  <c r="AW196" i="2" s="1"/>
  <c r="AL196" i="2"/>
  <c r="AY196" i="2" s="1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Y195" i="2" s="1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Y194" i="2" s="1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Y193" i="2" s="1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Y192" i="2" s="1"/>
  <c r="AV191" i="2"/>
  <c r="AU191" i="2"/>
  <c r="AT191" i="2"/>
  <c r="AS191" i="2"/>
  <c r="AR191" i="2"/>
  <c r="AQ191" i="2"/>
  <c r="AP191" i="2"/>
  <c r="AO191" i="2"/>
  <c r="AN191" i="2"/>
  <c r="AM191" i="2"/>
  <c r="AW191" i="2" s="1"/>
  <c r="AL191" i="2"/>
  <c r="AY191" i="2" s="1"/>
  <c r="AV190" i="2"/>
  <c r="AU190" i="2"/>
  <c r="AT190" i="2"/>
  <c r="AS190" i="2"/>
  <c r="AR190" i="2"/>
  <c r="AQ190" i="2"/>
  <c r="AP190" i="2"/>
  <c r="AO190" i="2"/>
  <c r="AN190" i="2"/>
  <c r="AM190" i="2"/>
  <c r="AW190" i="2" s="1"/>
  <c r="AL190" i="2"/>
  <c r="AY190" i="2" s="1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Y189" i="2" s="1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Y188" i="2" s="1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Y187" i="2" s="1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Y186" i="2" s="1"/>
  <c r="AV185" i="2"/>
  <c r="AU185" i="2"/>
  <c r="AT185" i="2"/>
  <c r="AS185" i="2"/>
  <c r="AR185" i="2"/>
  <c r="AQ185" i="2"/>
  <c r="AP185" i="2"/>
  <c r="AO185" i="2"/>
  <c r="AN185" i="2"/>
  <c r="AM185" i="2"/>
  <c r="AW185" i="2" s="1"/>
  <c r="AL185" i="2"/>
  <c r="AY185" i="2" s="1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Y184" i="2" s="1"/>
  <c r="AV183" i="2"/>
  <c r="AU183" i="2"/>
  <c r="AT183" i="2"/>
  <c r="AS183" i="2"/>
  <c r="AR183" i="2"/>
  <c r="AQ183" i="2"/>
  <c r="AP183" i="2"/>
  <c r="AO183" i="2"/>
  <c r="AN183" i="2"/>
  <c r="AM183" i="2"/>
  <c r="AW183" i="2" s="1"/>
  <c r="AL183" i="2"/>
  <c r="AY183" i="2" s="1"/>
  <c r="AV182" i="2"/>
  <c r="AU182" i="2"/>
  <c r="AT182" i="2"/>
  <c r="AS182" i="2"/>
  <c r="AR182" i="2"/>
  <c r="AQ182" i="2"/>
  <c r="AP182" i="2"/>
  <c r="AO182" i="2"/>
  <c r="AN182" i="2"/>
  <c r="AM182" i="2"/>
  <c r="AW182" i="2" s="1"/>
  <c r="AL182" i="2"/>
  <c r="AY182" i="2" s="1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Y181" i="2" s="1"/>
  <c r="AV180" i="2"/>
  <c r="AU180" i="2"/>
  <c r="AT180" i="2"/>
  <c r="AS180" i="2"/>
  <c r="AR180" i="2"/>
  <c r="AQ180" i="2"/>
  <c r="AP180" i="2"/>
  <c r="AO180" i="2"/>
  <c r="AN180" i="2"/>
  <c r="AM180" i="2"/>
  <c r="AW180" i="2" s="1"/>
  <c r="AL180" i="2"/>
  <c r="AY180" i="2" s="1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Y179" i="2" s="1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Y178" i="2" s="1"/>
  <c r="AV177" i="2"/>
  <c r="AU177" i="2"/>
  <c r="AT177" i="2"/>
  <c r="AS177" i="2"/>
  <c r="AR177" i="2"/>
  <c r="AQ177" i="2"/>
  <c r="AP177" i="2"/>
  <c r="AO177" i="2"/>
  <c r="AN177" i="2"/>
  <c r="AM177" i="2"/>
  <c r="AW177" i="2" s="1"/>
  <c r="AL177" i="2"/>
  <c r="AY177" i="2" s="1"/>
  <c r="AV176" i="2"/>
  <c r="AU176" i="2"/>
  <c r="AT176" i="2"/>
  <c r="AS176" i="2"/>
  <c r="AR176" i="2"/>
  <c r="AQ176" i="2"/>
  <c r="AP176" i="2"/>
  <c r="AO176" i="2"/>
  <c r="AN176" i="2"/>
  <c r="AM176" i="2"/>
  <c r="AW176" i="2" s="1"/>
  <c r="AL176" i="2"/>
  <c r="AY176" i="2" s="1"/>
  <c r="AV175" i="2"/>
  <c r="AU175" i="2"/>
  <c r="AT175" i="2"/>
  <c r="AS175" i="2"/>
  <c r="AR175" i="2"/>
  <c r="AQ175" i="2"/>
  <c r="AP175" i="2"/>
  <c r="AO175" i="2"/>
  <c r="AN175" i="2"/>
  <c r="AM175" i="2"/>
  <c r="AW175" i="2" s="1"/>
  <c r="AL175" i="2"/>
  <c r="AY175" i="2" s="1"/>
  <c r="AV174" i="2"/>
  <c r="AU174" i="2"/>
  <c r="AT174" i="2"/>
  <c r="AS174" i="2"/>
  <c r="AR174" i="2"/>
  <c r="AQ174" i="2"/>
  <c r="AP174" i="2"/>
  <c r="AO174" i="2"/>
  <c r="AN174" i="2"/>
  <c r="AM174" i="2"/>
  <c r="AW174" i="2" s="1"/>
  <c r="AL174" i="2"/>
  <c r="AY174" i="2" s="1"/>
  <c r="AV173" i="2"/>
  <c r="AU173" i="2"/>
  <c r="AT173" i="2"/>
  <c r="AS173" i="2"/>
  <c r="AR173" i="2"/>
  <c r="AQ173" i="2"/>
  <c r="AP173" i="2"/>
  <c r="AO173" i="2"/>
  <c r="AN173" i="2"/>
  <c r="AM173" i="2"/>
  <c r="AW173" i="2" s="1"/>
  <c r="AL173" i="2"/>
  <c r="AY173" i="2" s="1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Y172" i="2" s="1"/>
  <c r="AV171" i="2"/>
  <c r="AU171" i="2"/>
  <c r="AT171" i="2"/>
  <c r="AS171" i="2"/>
  <c r="AR171" i="2"/>
  <c r="AQ171" i="2"/>
  <c r="AP171" i="2"/>
  <c r="AO171" i="2"/>
  <c r="AN171" i="2"/>
  <c r="AM171" i="2"/>
  <c r="AW171" i="2" s="1"/>
  <c r="AL171" i="2"/>
  <c r="AY171" i="2" s="1"/>
  <c r="AV170" i="2"/>
  <c r="AU170" i="2"/>
  <c r="AT170" i="2"/>
  <c r="AS170" i="2"/>
  <c r="AR170" i="2"/>
  <c r="AQ170" i="2"/>
  <c r="AP170" i="2"/>
  <c r="AO170" i="2"/>
  <c r="AN170" i="2"/>
  <c r="AM170" i="2"/>
  <c r="AW170" i="2" s="1"/>
  <c r="AL170" i="2"/>
  <c r="AY170" i="2" s="1"/>
  <c r="AV169" i="2"/>
  <c r="AU169" i="2"/>
  <c r="AT169" i="2"/>
  <c r="AS169" i="2"/>
  <c r="AR169" i="2"/>
  <c r="AQ169" i="2"/>
  <c r="AP169" i="2"/>
  <c r="AO169" i="2"/>
  <c r="AN169" i="2"/>
  <c r="AM169" i="2"/>
  <c r="AW169" i="2" s="1"/>
  <c r="AL169" i="2"/>
  <c r="AY169" i="2" s="1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Y168" i="2" s="1"/>
  <c r="AV167" i="2"/>
  <c r="AU167" i="2"/>
  <c r="AT167" i="2"/>
  <c r="AS167" i="2"/>
  <c r="AR167" i="2"/>
  <c r="AQ167" i="2"/>
  <c r="AP167" i="2"/>
  <c r="AO167" i="2"/>
  <c r="AN167" i="2"/>
  <c r="AM167" i="2"/>
  <c r="AW167" i="2" s="1"/>
  <c r="AL167" i="2"/>
  <c r="AY167" i="2" s="1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Y166" i="2" s="1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Y165" i="2" s="1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Y164" i="2" s="1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Y163" i="2" s="1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Y162" i="2" s="1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Y161" i="2" s="1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Y160" i="2" s="1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Y159" i="2" s="1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Y158" i="2" s="1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Y157" i="2" s="1"/>
  <c r="AV156" i="2"/>
  <c r="AU156" i="2"/>
  <c r="AT156" i="2"/>
  <c r="AS156" i="2"/>
  <c r="AR156" i="2"/>
  <c r="AQ156" i="2"/>
  <c r="AP156" i="2"/>
  <c r="AO156" i="2"/>
  <c r="AN156" i="2"/>
  <c r="AM156" i="2"/>
  <c r="AW156" i="2" s="1"/>
  <c r="AL156" i="2"/>
  <c r="AY156" i="2" s="1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Y155" i="2" s="1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Y154" i="2" s="1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Y153" i="2" s="1"/>
  <c r="AV152" i="2"/>
  <c r="AU152" i="2"/>
  <c r="AT152" i="2"/>
  <c r="AS152" i="2"/>
  <c r="AR152" i="2"/>
  <c r="AQ152" i="2"/>
  <c r="AP152" i="2"/>
  <c r="AO152" i="2"/>
  <c r="AN152" i="2"/>
  <c r="AM152" i="2"/>
  <c r="AW152" i="2" s="1"/>
  <c r="AL152" i="2"/>
  <c r="AY152" i="2" s="1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Y151" i="2" s="1"/>
  <c r="AV150" i="2"/>
  <c r="AU150" i="2"/>
  <c r="AT150" i="2"/>
  <c r="AS150" i="2"/>
  <c r="AR150" i="2"/>
  <c r="AQ150" i="2"/>
  <c r="AP150" i="2"/>
  <c r="AO150" i="2"/>
  <c r="AN150" i="2"/>
  <c r="AM150" i="2"/>
  <c r="AW150" i="2" s="1"/>
  <c r="AL150" i="2"/>
  <c r="AY150" i="2" s="1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Y149" i="2" s="1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Y148" i="2" s="1"/>
  <c r="AV147" i="2"/>
  <c r="AU147" i="2"/>
  <c r="AT147" i="2"/>
  <c r="AS147" i="2"/>
  <c r="AR147" i="2"/>
  <c r="AQ147" i="2"/>
  <c r="AP147" i="2"/>
  <c r="AO147" i="2"/>
  <c r="AN147" i="2"/>
  <c r="AM147" i="2"/>
  <c r="AW147" i="2" s="1"/>
  <c r="AL147" i="2"/>
  <c r="AY147" i="2" s="1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Y146" i="2" s="1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Y145" i="2" s="1"/>
  <c r="AV144" i="2"/>
  <c r="AU144" i="2"/>
  <c r="AT144" i="2"/>
  <c r="AS144" i="2"/>
  <c r="AR144" i="2"/>
  <c r="AQ144" i="2"/>
  <c r="AP144" i="2"/>
  <c r="AO144" i="2"/>
  <c r="AN144" i="2"/>
  <c r="AM144" i="2"/>
  <c r="AW144" i="2" s="1"/>
  <c r="AL144" i="2"/>
  <c r="AY144" i="2" s="1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Y143" i="2" s="1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Y142" i="2" s="1"/>
  <c r="AV141" i="2"/>
  <c r="AU141" i="2"/>
  <c r="AT141" i="2"/>
  <c r="AS141" i="2"/>
  <c r="AR141" i="2"/>
  <c r="AQ141" i="2"/>
  <c r="AP141" i="2"/>
  <c r="AO141" i="2"/>
  <c r="AN141" i="2"/>
  <c r="AM141" i="2"/>
  <c r="AW141" i="2" s="1"/>
  <c r="AL141" i="2"/>
  <c r="AY141" i="2" s="1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Y140" i="2" s="1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Y139" i="2" s="1"/>
  <c r="AV138" i="2"/>
  <c r="AU138" i="2"/>
  <c r="AT138" i="2"/>
  <c r="AS138" i="2"/>
  <c r="AR138" i="2"/>
  <c r="AQ138" i="2"/>
  <c r="AP138" i="2"/>
  <c r="AO138" i="2"/>
  <c r="AN138" i="2"/>
  <c r="AM138" i="2"/>
  <c r="AW138" i="2" s="1"/>
  <c r="AL138" i="2"/>
  <c r="AY138" i="2" s="1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Y137" i="2" s="1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Y136" i="2" s="1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Y135" i="2" s="1"/>
  <c r="AV134" i="2"/>
  <c r="AU134" i="2"/>
  <c r="AT134" i="2"/>
  <c r="AS134" i="2"/>
  <c r="AR134" i="2"/>
  <c r="AQ134" i="2"/>
  <c r="AP134" i="2"/>
  <c r="AO134" i="2"/>
  <c r="AN134" i="2"/>
  <c r="AM134" i="2"/>
  <c r="AW134" i="2" s="1"/>
  <c r="AL134" i="2"/>
  <c r="AY134" i="2" s="1"/>
  <c r="AV133" i="2"/>
  <c r="AU133" i="2"/>
  <c r="AT133" i="2"/>
  <c r="AS133" i="2"/>
  <c r="AR133" i="2"/>
  <c r="AQ133" i="2"/>
  <c r="AP133" i="2"/>
  <c r="AO133" i="2"/>
  <c r="AN133" i="2"/>
  <c r="AM133" i="2"/>
  <c r="AW133" i="2" s="1"/>
  <c r="AL133" i="2"/>
  <c r="AY133" i="2" s="1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Y132" i="2" s="1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Y131" i="2" s="1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Y130" i="2" s="1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Y129" i="2" s="1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Y128" i="2" s="1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Y127" i="2" s="1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Y126" i="2" s="1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Y125" i="2" s="1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Y124" i="2" s="1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Y123" i="2" s="1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Y122" i="2" s="1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Y121" i="2" s="1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Y120" i="2" s="1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Y119" i="2" s="1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Y118" i="2" s="1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Y117" i="2" s="1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Y116" i="2" s="1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Y115" i="2" s="1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Y114" i="2" s="1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Y113" i="2" s="1"/>
  <c r="AV112" i="2"/>
  <c r="AU112" i="2"/>
  <c r="AT112" i="2"/>
  <c r="AS112" i="2"/>
  <c r="AR112" i="2"/>
  <c r="AQ112" i="2"/>
  <c r="AP112" i="2"/>
  <c r="AO112" i="2"/>
  <c r="AN112" i="2"/>
  <c r="AM112" i="2"/>
  <c r="AW112" i="2" s="1"/>
  <c r="AL112" i="2"/>
  <c r="AY112" i="2" s="1"/>
  <c r="AV111" i="2"/>
  <c r="AU111" i="2"/>
  <c r="AT111" i="2"/>
  <c r="AS111" i="2"/>
  <c r="AR111" i="2"/>
  <c r="AQ111" i="2"/>
  <c r="AP111" i="2"/>
  <c r="AO111" i="2"/>
  <c r="AN111" i="2"/>
  <c r="AM111" i="2"/>
  <c r="AW111" i="2" s="1"/>
  <c r="AL111" i="2"/>
  <c r="AY111" i="2" s="1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Y110" i="2" s="1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Y109" i="2" s="1"/>
  <c r="AV108" i="2"/>
  <c r="AU108" i="2"/>
  <c r="AT108" i="2"/>
  <c r="AS108" i="2"/>
  <c r="AR108" i="2"/>
  <c r="AQ108" i="2"/>
  <c r="AP108" i="2"/>
  <c r="AO108" i="2"/>
  <c r="AN108" i="2"/>
  <c r="AM108" i="2"/>
  <c r="AW108" i="2" s="1"/>
  <c r="AL108" i="2"/>
  <c r="AY108" i="2" s="1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Y107" i="2" s="1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Y106" i="2" s="1"/>
  <c r="AV105" i="2"/>
  <c r="AU105" i="2"/>
  <c r="AT105" i="2"/>
  <c r="AS105" i="2"/>
  <c r="AR105" i="2"/>
  <c r="AQ105" i="2"/>
  <c r="AP105" i="2"/>
  <c r="AO105" i="2"/>
  <c r="AN105" i="2"/>
  <c r="AM105" i="2"/>
  <c r="AW105" i="2" s="1"/>
  <c r="AL105" i="2"/>
  <c r="AY105" i="2" s="1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Y104" i="2" s="1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Y103" i="2" s="1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Y102" i="2" s="1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Y101" i="2" s="1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Y100" i="2" s="1"/>
  <c r="AW99" i="2"/>
  <c r="AV99" i="2"/>
  <c r="AU99" i="2"/>
  <c r="AT99" i="2"/>
  <c r="AS99" i="2"/>
  <c r="AR99" i="2"/>
  <c r="AQ99" i="2"/>
  <c r="AP99" i="2"/>
  <c r="AO99" i="2"/>
  <c r="AN99" i="2"/>
  <c r="AM99" i="2"/>
  <c r="AL99" i="2"/>
  <c r="AY99" i="2" s="1"/>
  <c r="AW98" i="2"/>
  <c r="AV98" i="2"/>
  <c r="AU98" i="2"/>
  <c r="AT98" i="2"/>
  <c r="AS98" i="2"/>
  <c r="AR98" i="2"/>
  <c r="AQ98" i="2"/>
  <c r="AP98" i="2"/>
  <c r="AO98" i="2"/>
  <c r="AN98" i="2"/>
  <c r="AM98" i="2"/>
  <c r="AL98" i="2"/>
  <c r="AY98" i="2" s="1"/>
  <c r="AW97" i="2"/>
  <c r="AV97" i="2"/>
  <c r="AU97" i="2"/>
  <c r="AT97" i="2"/>
  <c r="AS97" i="2"/>
  <c r="AR97" i="2"/>
  <c r="AQ97" i="2"/>
  <c r="AP97" i="2"/>
  <c r="AO97" i="2"/>
  <c r="AN97" i="2"/>
  <c r="AM97" i="2"/>
  <c r="AL97" i="2"/>
  <c r="AY97" i="2" s="1"/>
  <c r="AW96" i="2"/>
  <c r="AV96" i="2"/>
  <c r="AU96" i="2"/>
  <c r="AT96" i="2"/>
  <c r="AS96" i="2"/>
  <c r="AR96" i="2"/>
  <c r="AQ96" i="2"/>
  <c r="AP96" i="2"/>
  <c r="AO96" i="2"/>
  <c r="AN96" i="2"/>
  <c r="AM96" i="2"/>
  <c r="AL96" i="2"/>
  <c r="AY96" i="2" s="1"/>
  <c r="AV95" i="2"/>
  <c r="AU95" i="2"/>
  <c r="AT95" i="2"/>
  <c r="AS95" i="2"/>
  <c r="AR95" i="2"/>
  <c r="AQ95" i="2"/>
  <c r="AP95" i="2"/>
  <c r="AO95" i="2"/>
  <c r="AN95" i="2"/>
  <c r="AM95" i="2"/>
  <c r="AW95" i="2" s="1"/>
  <c r="AL95" i="2"/>
  <c r="AY95" i="2" s="1"/>
  <c r="AW94" i="2"/>
  <c r="AV94" i="2"/>
  <c r="AU94" i="2"/>
  <c r="AT94" i="2"/>
  <c r="AS94" i="2"/>
  <c r="AR94" i="2"/>
  <c r="AQ94" i="2"/>
  <c r="AP94" i="2"/>
  <c r="AO94" i="2"/>
  <c r="AN94" i="2"/>
  <c r="AM94" i="2"/>
  <c r="AL94" i="2"/>
  <c r="AY94" i="2" s="1"/>
  <c r="AW93" i="2"/>
  <c r="AV93" i="2"/>
  <c r="AU93" i="2"/>
  <c r="AT93" i="2"/>
  <c r="AS93" i="2"/>
  <c r="AR93" i="2"/>
  <c r="AQ93" i="2"/>
  <c r="AP93" i="2"/>
  <c r="AO93" i="2"/>
  <c r="AN93" i="2"/>
  <c r="AM93" i="2"/>
  <c r="AL93" i="2"/>
  <c r="AY93" i="2" s="1"/>
  <c r="AW92" i="2"/>
  <c r="AV92" i="2"/>
  <c r="AU92" i="2"/>
  <c r="AT92" i="2"/>
  <c r="AS92" i="2"/>
  <c r="AR92" i="2"/>
  <c r="AQ92" i="2"/>
  <c r="AP92" i="2"/>
  <c r="AO92" i="2"/>
  <c r="AN92" i="2"/>
  <c r="AM92" i="2"/>
  <c r="AL92" i="2"/>
  <c r="AY92" i="2" s="1"/>
  <c r="AV91" i="2"/>
  <c r="AU91" i="2"/>
  <c r="AT91" i="2"/>
  <c r="AS91" i="2"/>
  <c r="AR91" i="2"/>
  <c r="AQ91" i="2"/>
  <c r="AP91" i="2"/>
  <c r="AO91" i="2"/>
  <c r="AN91" i="2"/>
  <c r="AM91" i="2"/>
  <c r="AW91" i="2" s="1"/>
  <c r="AL91" i="2"/>
  <c r="AY91" i="2" s="1"/>
  <c r="AV90" i="2"/>
  <c r="AU90" i="2"/>
  <c r="AT90" i="2"/>
  <c r="AS90" i="2"/>
  <c r="AR90" i="2"/>
  <c r="AQ90" i="2"/>
  <c r="AP90" i="2"/>
  <c r="AO90" i="2"/>
  <c r="AN90" i="2"/>
  <c r="AM90" i="2"/>
  <c r="AW90" i="2" s="1"/>
  <c r="AL90" i="2"/>
  <c r="AY90" i="2" s="1"/>
  <c r="AW89" i="2"/>
  <c r="AV89" i="2"/>
  <c r="AU89" i="2"/>
  <c r="AT89" i="2"/>
  <c r="AS89" i="2"/>
  <c r="AR89" i="2"/>
  <c r="AQ89" i="2"/>
  <c r="AP89" i="2"/>
  <c r="AO89" i="2"/>
  <c r="AN89" i="2"/>
  <c r="AM89" i="2"/>
  <c r="AL89" i="2"/>
  <c r="AY89" i="2" s="1"/>
  <c r="AW88" i="2"/>
  <c r="AV88" i="2"/>
  <c r="AU88" i="2"/>
  <c r="AT88" i="2"/>
  <c r="AS88" i="2"/>
  <c r="AR88" i="2"/>
  <c r="AQ88" i="2"/>
  <c r="AP88" i="2"/>
  <c r="AO88" i="2"/>
  <c r="AN88" i="2"/>
  <c r="AM88" i="2"/>
  <c r="AL88" i="2"/>
  <c r="AY88" i="2" s="1"/>
  <c r="AW87" i="2"/>
  <c r="AV87" i="2"/>
  <c r="AU87" i="2"/>
  <c r="AT87" i="2"/>
  <c r="AS87" i="2"/>
  <c r="AR87" i="2"/>
  <c r="AQ87" i="2"/>
  <c r="AP87" i="2"/>
  <c r="AO87" i="2"/>
  <c r="AN87" i="2"/>
  <c r="AM87" i="2"/>
  <c r="AL87" i="2"/>
  <c r="AY87" i="2" s="1"/>
  <c r="AW86" i="2"/>
  <c r="AV86" i="2"/>
  <c r="AU86" i="2"/>
  <c r="AT86" i="2"/>
  <c r="AS86" i="2"/>
  <c r="AR86" i="2"/>
  <c r="AQ86" i="2"/>
  <c r="AP86" i="2"/>
  <c r="AO86" i="2"/>
  <c r="AN86" i="2"/>
  <c r="AM86" i="2"/>
  <c r="AL86" i="2"/>
  <c r="AY86" i="2" s="1"/>
  <c r="AW85" i="2"/>
  <c r="AV85" i="2"/>
  <c r="AU85" i="2"/>
  <c r="AT85" i="2"/>
  <c r="AS85" i="2"/>
  <c r="AR85" i="2"/>
  <c r="AQ85" i="2"/>
  <c r="AP85" i="2"/>
  <c r="AO85" i="2"/>
  <c r="AN85" i="2"/>
  <c r="AM85" i="2"/>
  <c r="AL85" i="2"/>
  <c r="AY85" i="2" s="1"/>
  <c r="AW84" i="2"/>
  <c r="AV84" i="2"/>
  <c r="AU84" i="2"/>
  <c r="AT84" i="2"/>
  <c r="AS84" i="2"/>
  <c r="AR84" i="2"/>
  <c r="AQ84" i="2"/>
  <c r="AP84" i="2"/>
  <c r="AO84" i="2"/>
  <c r="AN84" i="2"/>
  <c r="AM84" i="2"/>
  <c r="AL84" i="2"/>
  <c r="AY84" i="2" s="1"/>
  <c r="AW83" i="2"/>
  <c r="AV83" i="2"/>
  <c r="AU83" i="2"/>
  <c r="AT83" i="2"/>
  <c r="AS83" i="2"/>
  <c r="AR83" i="2"/>
  <c r="AQ83" i="2"/>
  <c r="AP83" i="2"/>
  <c r="AO83" i="2"/>
  <c r="AN83" i="2"/>
  <c r="AM83" i="2"/>
  <c r="AL83" i="2"/>
  <c r="AY83" i="2" s="1"/>
  <c r="AV82" i="2"/>
  <c r="AU82" i="2"/>
  <c r="AT82" i="2"/>
  <c r="AS82" i="2"/>
  <c r="AR82" i="2"/>
  <c r="AQ82" i="2"/>
  <c r="AP82" i="2"/>
  <c r="AO82" i="2"/>
  <c r="AN82" i="2"/>
  <c r="AM82" i="2"/>
  <c r="AW82" i="2" s="1"/>
  <c r="AL82" i="2"/>
  <c r="AY82" i="2" s="1"/>
  <c r="AW81" i="2"/>
  <c r="AV81" i="2"/>
  <c r="AU81" i="2"/>
  <c r="AT81" i="2"/>
  <c r="AS81" i="2"/>
  <c r="AR81" i="2"/>
  <c r="AQ81" i="2"/>
  <c r="AP81" i="2"/>
  <c r="AO81" i="2"/>
  <c r="AN81" i="2"/>
  <c r="AM81" i="2"/>
  <c r="AL81" i="2"/>
  <c r="AY81" i="2" s="1"/>
  <c r="AV80" i="2"/>
  <c r="AU80" i="2"/>
  <c r="AT80" i="2"/>
  <c r="AS80" i="2"/>
  <c r="AR80" i="2"/>
  <c r="AQ80" i="2"/>
  <c r="AP80" i="2"/>
  <c r="AO80" i="2"/>
  <c r="AN80" i="2"/>
  <c r="AM80" i="2"/>
  <c r="AW80" i="2" s="1"/>
  <c r="AL80" i="2"/>
  <c r="AY80" i="2" s="1"/>
  <c r="AV79" i="2"/>
  <c r="AU79" i="2"/>
  <c r="AT79" i="2"/>
  <c r="AS79" i="2"/>
  <c r="AR79" i="2"/>
  <c r="AQ79" i="2"/>
  <c r="AP79" i="2"/>
  <c r="AO79" i="2"/>
  <c r="AN79" i="2"/>
  <c r="AM79" i="2"/>
  <c r="AW79" i="2" s="1"/>
  <c r="AL79" i="2"/>
  <c r="AY79" i="2" s="1"/>
  <c r="AW78" i="2"/>
  <c r="AV78" i="2"/>
  <c r="AU78" i="2"/>
  <c r="AT78" i="2"/>
  <c r="AS78" i="2"/>
  <c r="AR78" i="2"/>
  <c r="AQ78" i="2"/>
  <c r="AP78" i="2"/>
  <c r="AO78" i="2"/>
  <c r="AN78" i="2"/>
  <c r="AM78" i="2"/>
  <c r="AL78" i="2"/>
  <c r="AY78" i="2" s="1"/>
  <c r="AW77" i="2"/>
  <c r="AV77" i="2"/>
  <c r="AU77" i="2"/>
  <c r="AT77" i="2"/>
  <c r="AS77" i="2"/>
  <c r="AR77" i="2"/>
  <c r="AQ77" i="2"/>
  <c r="AP77" i="2"/>
  <c r="AO77" i="2"/>
  <c r="AN77" i="2"/>
  <c r="AM77" i="2"/>
  <c r="AL77" i="2"/>
  <c r="AY77" i="2" s="1"/>
  <c r="AW76" i="2"/>
  <c r="AV76" i="2"/>
  <c r="AU76" i="2"/>
  <c r="AT76" i="2"/>
  <c r="AS76" i="2"/>
  <c r="AR76" i="2"/>
  <c r="AQ76" i="2"/>
  <c r="AP76" i="2"/>
  <c r="AO76" i="2"/>
  <c r="AN76" i="2"/>
  <c r="AM76" i="2"/>
  <c r="AL76" i="2"/>
  <c r="AY76" i="2" s="1"/>
  <c r="AV75" i="2"/>
  <c r="AU75" i="2"/>
  <c r="AT75" i="2"/>
  <c r="AS75" i="2"/>
  <c r="AR75" i="2"/>
  <c r="AQ75" i="2"/>
  <c r="AP75" i="2"/>
  <c r="AO75" i="2"/>
  <c r="AN75" i="2"/>
  <c r="AM75" i="2"/>
  <c r="AW75" i="2" s="1"/>
  <c r="AL75" i="2"/>
  <c r="AY75" i="2" s="1"/>
  <c r="AW74" i="2"/>
  <c r="AV74" i="2"/>
  <c r="AU74" i="2"/>
  <c r="AT74" i="2"/>
  <c r="AS74" i="2"/>
  <c r="AR74" i="2"/>
  <c r="AQ74" i="2"/>
  <c r="AP74" i="2"/>
  <c r="AO74" i="2"/>
  <c r="AN74" i="2"/>
  <c r="AM74" i="2"/>
  <c r="AL74" i="2"/>
  <c r="AY74" i="2" s="1"/>
  <c r="AW73" i="2"/>
  <c r="AV73" i="2"/>
  <c r="AU73" i="2"/>
  <c r="AT73" i="2"/>
  <c r="AS73" i="2"/>
  <c r="AR73" i="2"/>
  <c r="AQ73" i="2"/>
  <c r="AP73" i="2"/>
  <c r="AO73" i="2"/>
  <c r="AN73" i="2"/>
  <c r="AM73" i="2"/>
  <c r="AL73" i="2"/>
  <c r="AY73" i="2" s="1"/>
  <c r="AV72" i="2"/>
  <c r="AU72" i="2"/>
  <c r="AT72" i="2"/>
  <c r="AS72" i="2"/>
  <c r="AR72" i="2"/>
  <c r="AQ72" i="2"/>
  <c r="AP72" i="2"/>
  <c r="AO72" i="2"/>
  <c r="AN72" i="2"/>
  <c r="AM72" i="2"/>
  <c r="AW72" i="2" s="1"/>
  <c r="AL72" i="2"/>
  <c r="AY72" i="2" s="1"/>
  <c r="AW71" i="2"/>
  <c r="AV71" i="2"/>
  <c r="AU71" i="2"/>
  <c r="AT71" i="2"/>
  <c r="AS71" i="2"/>
  <c r="AR71" i="2"/>
  <c r="AQ71" i="2"/>
  <c r="AP71" i="2"/>
  <c r="AO71" i="2"/>
  <c r="AN71" i="2"/>
  <c r="AM71" i="2"/>
  <c r="AL71" i="2"/>
  <c r="AY71" i="2" s="1"/>
  <c r="AW70" i="2"/>
  <c r="AV70" i="2"/>
  <c r="AU70" i="2"/>
  <c r="AT70" i="2"/>
  <c r="AS70" i="2"/>
  <c r="AR70" i="2"/>
  <c r="AQ70" i="2"/>
  <c r="AP70" i="2"/>
  <c r="AO70" i="2"/>
  <c r="AN70" i="2"/>
  <c r="AM70" i="2"/>
  <c r="AL70" i="2"/>
  <c r="AY70" i="2" s="1"/>
  <c r="AW69" i="2"/>
  <c r="AV69" i="2"/>
  <c r="AU69" i="2"/>
  <c r="AT69" i="2"/>
  <c r="AS69" i="2"/>
  <c r="AR69" i="2"/>
  <c r="AQ69" i="2"/>
  <c r="AP69" i="2"/>
  <c r="AO69" i="2"/>
  <c r="AN69" i="2"/>
  <c r="AM69" i="2"/>
  <c r="AL69" i="2"/>
  <c r="AY69" i="2" s="1"/>
  <c r="AW68" i="2"/>
  <c r="AV68" i="2"/>
  <c r="AU68" i="2"/>
  <c r="AT68" i="2"/>
  <c r="AS68" i="2"/>
  <c r="AR68" i="2"/>
  <c r="AQ68" i="2"/>
  <c r="AP68" i="2"/>
  <c r="AO68" i="2"/>
  <c r="AN68" i="2"/>
  <c r="AM68" i="2"/>
  <c r="AL68" i="2"/>
  <c r="AY68" i="2" s="1"/>
  <c r="AW67" i="2"/>
  <c r="AV67" i="2"/>
  <c r="AU67" i="2"/>
  <c r="AT67" i="2"/>
  <c r="AS67" i="2"/>
  <c r="AR67" i="2"/>
  <c r="AQ67" i="2"/>
  <c r="AP67" i="2"/>
  <c r="AO67" i="2"/>
  <c r="AN67" i="2"/>
  <c r="AM67" i="2"/>
  <c r="AL67" i="2"/>
  <c r="AY67" i="2" s="1"/>
  <c r="AW66" i="2"/>
  <c r="AV66" i="2"/>
  <c r="AU66" i="2"/>
  <c r="AT66" i="2"/>
  <c r="AS66" i="2"/>
  <c r="AR66" i="2"/>
  <c r="AQ66" i="2"/>
  <c r="AP66" i="2"/>
  <c r="AO66" i="2"/>
  <c r="AN66" i="2"/>
  <c r="AM66" i="2"/>
  <c r="AL66" i="2"/>
  <c r="AY66" i="2" s="1"/>
  <c r="AW65" i="2"/>
  <c r="AV65" i="2"/>
  <c r="AU65" i="2"/>
  <c r="AT65" i="2"/>
  <c r="AS65" i="2"/>
  <c r="AR65" i="2"/>
  <c r="AQ65" i="2"/>
  <c r="AP65" i="2"/>
  <c r="AO65" i="2"/>
  <c r="AN65" i="2"/>
  <c r="AM65" i="2"/>
  <c r="AL65" i="2"/>
  <c r="AY65" i="2" s="1"/>
  <c r="AW64" i="2"/>
  <c r="AV64" i="2"/>
  <c r="AU64" i="2"/>
  <c r="AT64" i="2"/>
  <c r="AS64" i="2"/>
  <c r="AR64" i="2"/>
  <c r="AQ64" i="2"/>
  <c r="AP64" i="2"/>
  <c r="AO64" i="2"/>
  <c r="AN64" i="2"/>
  <c r="AM64" i="2"/>
  <c r="AL64" i="2"/>
  <c r="AY64" i="2" s="1"/>
  <c r="AW63" i="2"/>
  <c r="AV63" i="2"/>
  <c r="AU63" i="2"/>
  <c r="AT63" i="2"/>
  <c r="AS63" i="2"/>
  <c r="AR63" i="2"/>
  <c r="AQ63" i="2"/>
  <c r="AP63" i="2"/>
  <c r="AO63" i="2"/>
  <c r="AN63" i="2"/>
  <c r="AM63" i="2"/>
  <c r="AL63" i="2"/>
  <c r="AY63" i="2" s="1"/>
  <c r="AW62" i="2"/>
  <c r="AV62" i="2"/>
  <c r="AU62" i="2"/>
  <c r="AT62" i="2"/>
  <c r="AS62" i="2"/>
  <c r="AR62" i="2"/>
  <c r="AQ62" i="2"/>
  <c r="AP62" i="2"/>
  <c r="AO62" i="2"/>
  <c r="AN62" i="2"/>
  <c r="AM62" i="2"/>
  <c r="AL62" i="2"/>
  <c r="AY62" i="2" s="1"/>
  <c r="AW61" i="2"/>
  <c r="AV61" i="2"/>
  <c r="AU61" i="2"/>
  <c r="AT61" i="2"/>
  <c r="AS61" i="2"/>
  <c r="AR61" i="2"/>
  <c r="AQ61" i="2"/>
  <c r="AP61" i="2"/>
  <c r="AO61" i="2"/>
  <c r="AN61" i="2"/>
  <c r="AM61" i="2"/>
  <c r="AL61" i="2"/>
  <c r="AY61" i="2" s="1"/>
  <c r="AW60" i="2"/>
  <c r="AV60" i="2"/>
  <c r="AU60" i="2"/>
  <c r="AT60" i="2"/>
  <c r="AS60" i="2"/>
  <c r="AR60" i="2"/>
  <c r="AQ60" i="2"/>
  <c r="AP60" i="2"/>
  <c r="AO60" i="2"/>
  <c r="AN60" i="2"/>
  <c r="AM60" i="2"/>
  <c r="AL60" i="2"/>
  <c r="AY60" i="2" s="1"/>
  <c r="AW59" i="2"/>
  <c r="AV59" i="2"/>
  <c r="AU59" i="2"/>
  <c r="AT59" i="2"/>
  <c r="AS59" i="2"/>
  <c r="AR59" i="2"/>
  <c r="AQ59" i="2"/>
  <c r="AP59" i="2"/>
  <c r="AO59" i="2"/>
  <c r="AN59" i="2"/>
  <c r="AM59" i="2"/>
  <c r="AL59" i="2"/>
  <c r="AY59" i="2" s="1"/>
  <c r="AV58" i="2"/>
  <c r="AU58" i="2"/>
  <c r="AT58" i="2"/>
  <c r="AS58" i="2"/>
  <c r="AR58" i="2"/>
  <c r="AQ58" i="2"/>
  <c r="AP58" i="2"/>
  <c r="AO58" i="2"/>
  <c r="AN58" i="2"/>
  <c r="AM58" i="2"/>
  <c r="AW58" i="2" s="1"/>
  <c r="AL58" i="2"/>
  <c r="AY58" i="2" s="1"/>
  <c r="AW57" i="2"/>
  <c r="AV57" i="2"/>
  <c r="AU57" i="2"/>
  <c r="AT57" i="2"/>
  <c r="AS57" i="2"/>
  <c r="AR57" i="2"/>
  <c r="AQ57" i="2"/>
  <c r="AP57" i="2"/>
  <c r="AO57" i="2"/>
  <c r="AN57" i="2"/>
  <c r="AM57" i="2"/>
  <c r="AL57" i="2"/>
  <c r="AY57" i="2" s="1"/>
  <c r="AV56" i="2"/>
  <c r="AU56" i="2"/>
  <c r="AT56" i="2"/>
  <c r="AS56" i="2"/>
  <c r="AR56" i="2"/>
  <c r="AQ56" i="2"/>
  <c r="AP56" i="2"/>
  <c r="AO56" i="2"/>
  <c r="AN56" i="2"/>
  <c r="AM56" i="2"/>
  <c r="AW56" i="2" s="1"/>
  <c r="AL56" i="2"/>
  <c r="AY56" i="2" s="1"/>
  <c r="AW55" i="2"/>
  <c r="AV55" i="2"/>
  <c r="AU55" i="2"/>
  <c r="AT55" i="2"/>
  <c r="AS55" i="2"/>
  <c r="AR55" i="2"/>
  <c r="AQ55" i="2"/>
  <c r="AP55" i="2"/>
  <c r="AO55" i="2"/>
  <c r="AN55" i="2"/>
  <c r="AM55" i="2"/>
  <c r="AL55" i="2"/>
  <c r="AY55" i="2" s="1"/>
  <c r="AV54" i="2"/>
  <c r="AU54" i="2"/>
  <c r="AT54" i="2"/>
  <c r="AS54" i="2"/>
  <c r="AR54" i="2"/>
  <c r="AQ54" i="2"/>
  <c r="AP54" i="2"/>
  <c r="AO54" i="2"/>
  <c r="AN54" i="2"/>
  <c r="AM54" i="2"/>
  <c r="AW54" i="2" s="1"/>
  <c r="AL54" i="2"/>
  <c r="AY54" i="2" s="1"/>
  <c r="AW53" i="2"/>
  <c r="AV53" i="2"/>
  <c r="AU53" i="2"/>
  <c r="AT53" i="2"/>
  <c r="AS53" i="2"/>
  <c r="AR53" i="2"/>
  <c r="AQ53" i="2"/>
  <c r="AP53" i="2"/>
  <c r="AO53" i="2"/>
  <c r="AN53" i="2"/>
  <c r="AM53" i="2"/>
  <c r="AL53" i="2"/>
  <c r="AY53" i="2" s="1"/>
  <c r="AV52" i="2"/>
  <c r="AU52" i="2"/>
  <c r="AT52" i="2"/>
  <c r="AS52" i="2"/>
  <c r="AR52" i="2"/>
  <c r="AQ52" i="2"/>
  <c r="AP52" i="2"/>
  <c r="AO52" i="2"/>
  <c r="AN52" i="2"/>
  <c r="AM52" i="2"/>
  <c r="AW52" i="2" s="1"/>
  <c r="AL52" i="2"/>
  <c r="AY52" i="2" s="1"/>
  <c r="AW51" i="2"/>
  <c r="AV51" i="2"/>
  <c r="AU51" i="2"/>
  <c r="AT51" i="2"/>
  <c r="AS51" i="2"/>
  <c r="AR51" i="2"/>
  <c r="AQ51" i="2"/>
  <c r="AP51" i="2"/>
  <c r="AO51" i="2"/>
  <c r="AN51" i="2"/>
  <c r="AM51" i="2"/>
  <c r="AL51" i="2"/>
  <c r="AY51" i="2" s="1"/>
  <c r="AW50" i="2"/>
  <c r="AV50" i="2"/>
  <c r="AU50" i="2"/>
  <c r="AT50" i="2"/>
  <c r="AS50" i="2"/>
  <c r="AR50" i="2"/>
  <c r="AQ50" i="2"/>
  <c r="AP50" i="2"/>
  <c r="AO50" i="2"/>
  <c r="AN50" i="2"/>
  <c r="AM50" i="2"/>
  <c r="AL50" i="2"/>
  <c r="AY50" i="2" s="1"/>
  <c r="AW49" i="2"/>
  <c r="AV49" i="2"/>
  <c r="AU49" i="2"/>
  <c r="AT49" i="2"/>
  <c r="AS49" i="2"/>
  <c r="AR49" i="2"/>
  <c r="AQ49" i="2"/>
  <c r="AP49" i="2"/>
  <c r="AO49" i="2"/>
  <c r="AN49" i="2"/>
  <c r="AM49" i="2"/>
  <c r="AL49" i="2"/>
  <c r="AY49" i="2" s="1"/>
  <c r="AW48" i="2"/>
  <c r="AV48" i="2"/>
  <c r="AU48" i="2"/>
  <c r="AT48" i="2"/>
  <c r="AS48" i="2"/>
  <c r="AR48" i="2"/>
  <c r="AQ48" i="2"/>
  <c r="AP48" i="2"/>
  <c r="AO48" i="2"/>
  <c r="AN48" i="2"/>
  <c r="AM48" i="2"/>
  <c r="AL48" i="2"/>
  <c r="AY48" i="2" s="1"/>
  <c r="AV47" i="2"/>
  <c r="AU47" i="2"/>
  <c r="AT47" i="2"/>
  <c r="AS47" i="2"/>
  <c r="AR47" i="2"/>
  <c r="AQ47" i="2"/>
  <c r="AP47" i="2"/>
  <c r="AO47" i="2"/>
  <c r="AN47" i="2"/>
  <c r="AM47" i="2"/>
  <c r="AW47" i="2" s="1"/>
  <c r="AL47" i="2"/>
  <c r="AY47" i="2" s="1"/>
  <c r="AV46" i="2"/>
  <c r="AU46" i="2"/>
  <c r="AT46" i="2"/>
  <c r="AS46" i="2"/>
  <c r="AR46" i="2"/>
  <c r="AQ46" i="2"/>
  <c r="AP46" i="2"/>
  <c r="AO46" i="2"/>
  <c r="AN46" i="2"/>
  <c r="AM46" i="2"/>
  <c r="AW46" i="2" s="1"/>
  <c r="AL46" i="2"/>
  <c r="AY46" i="2" s="1"/>
  <c r="AW45" i="2"/>
  <c r="AV45" i="2"/>
  <c r="AU45" i="2"/>
  <c r="AT45" i="2"/>
  <c r="AS45" i="2"/>
  <c r="AR45" i="2"/>
  <c r="AQ45" i="2"/>
  <c r="AP45" i="2"/>
  <c r="AO45" i="2"/>
  <c r="AN45" i="2"/>
  <c r="AM45" i="2"/>
  <c r="AL45" i="2"/>
  <c r="AY45" i="2" s="1"/>
  <c r="AW44" i="2"/>
  <c r="AV44" i="2"/>
  <c r="AU44" i="2"/>
  <c r="AT44" i="2"/>
  <c r="AS44" i="2"/>
  <c r="AR44" i="2"/>
  <c r="AQ44" i="2"/>
  <c r="AP44" i="2"/>
  <c r="AO44" i="2"/>
  <c r="AN44" i="2"/>
  <c r="AM44" i="2"/>
  <c r="AL44" i="2"/>
  <c r="AY44" i="2" s="1"/>
  <c r="AW43" i="2"/>
  <c r="AV43" i="2"/>
  <c r="AU43" i="2"/>
  <c r="AT43" i="2"/>
  <c r="AS43" i="2"/>
  <c r="AR43" i="2"/>
  <c r="AQ43" i="2"/>
  <c r="AP43" i="2"/>
  <c r="AO43" i="2"/>
  <c r="AN43" i="2"/>
  <c r="AM43" i="2"/>
  <c r="AL43" i="2"/>
  <c r="AY43" i="2" s="1"/>
  <c r="AV42" i="2"/>
  <c r="AU42" i="2"/>
  <c r="AT42" i="2"/>
  <c r="AS42" i="2"/>
  <c r="AR42" i="2"/>
  <c r="AQ42" i="2"/>
  <c r="AP42" i="2"/>
  <c r="AO42" i="2"/>
  <c r="AN42" i="2"/>
  <c r="AM42" i="2"/>
  <c r="AW42" i="2" s="1"/>
  <c r="AL42" i="2"/>
  <c r="AY42" i="2" s="1"/>
  <c r="AW41" i="2"/>
  <c r="AV41" i="2"/>
  <c r="AU41" i="2"/>
  <c r="AT41" i="2"/>
  <c r="AS41" i="2"/>
  <c r="AR41" i="2"/>
  <c r="AQ41" i="2"/>
  <c r="AP41" i="2"/>
  <c r="AO41" i="2"/>
  <c r="AN41" i="2"/>
  <c r="AM41" i="2"/>
  <c r="AL41" i="2"/>
  <c r="AY41" i="2" s="1"/>
  <c r="AW40" i="2"/>
  <c r="AV40" i="2"/>
  <c r="AU40" i="2"/>
  <c r="AT40" i="2"/>
  <c r="AS40" i="2"/>
  <c r="AR40" i="2"/>
  <c r="AQ40" i="2"/>
  <c r="AP40" i="2"/>
  <c r="AO40" i="2"/>
  <c r="AN40" i="2"/>
  <c r="AM40" i="2"/>
  <c r="AL40" i="2"/>
  <c r="AY40" i="2" s="1"/>
  <c r="AV39" i="2"/>
  <c r="AU39" i="2"/>
  <c r="AT39" i="2"/>
  <c r="AS39" i="2"/>
  <c r="AR39" i="2"/>
  <c r="AQ39" i="2"/>
  <c r="AP39" i="2"/>
  <c r="AO39" i="2"/>
  <c r="AN39" i="2"/>
  <c r="AM39" i="2"/>
  <c r="AW39" i="2" s="1"/>
  <c r="AL39" i="2"/>
  <c r="AY39" i="2" s="1"/>
  <c r="AW38" i="2"/>
  <c r="AV38" i="2"/>
  <c r="AU38" i="2"/>
  <c r="AT38" i="2"/>
  <c r="AS38" i="2"/>
  <c r="AR38" i="2"/>
  <c r="AQ38" i="2"/>
  <c r="AP38" i="2"/>
  <c r="AO38" i="2"/>
  <c r="AN38" i="2"/>
  <c r="AM38" i="2"/>
  <c r="AL38" i="2"/>
  <c r="AY38" i="2" s="1"/>
  <c r="AW37" i="2"/>
  <c r="AV37" i="2"/>
  <c r="AU37" i="2"/>
  <c r="AT37" i="2"/>
  <c r="AS37" i="2"/>
  <c r="AR37" i="2"/>
  <c r="AQ37" i="2"/>
  <c r="AP37" i="2"/>
  <c r="AO37" i="2"/>
  <c r="AN37" i="2"/>
  <c r="AM37" i="2"/>
  <c r="AL37" i="2"/>
  <c r="AY37" i="2" s="1"/>
  <c r="AW36" i="2"/>
  <c r="AV36" i="2"/>
  <c r="AU36" i="2"/>
  <c r="AT36" i="2"/>
  <c r="AS36" i="2"/>
  <c r="AR36" i="2"/>
  <c r="AQ36" i="2"/>
  <c r="AP36" i="2"/>
  <c r="AO36" i="2"/>
  <c r="AN36" i="2"/>
  <c r="AM36" i="2"/>
  <c r="AL36" i="2"/>
  <c r="AY36" i="2" s="1"/>
  <c r="AW35" i="2"/>
  <c r="AV35" i="2"/>
  <c r="AU35" i="2"/>
  <c r="AT35" i="2"/>
  <c r="AS35" i="2"/>
  <c r="AR35" i="2"/>
  <c r="AQ35" i="2"/>
  <c r="AP35" i="2"/>
  <c r="AO35" i="2"/>
  <c r="AN35" i="2"/>
  <c r="AM35" i="2"/>
  <c r="AL35" i="2"/>
  <c r="AY35" i="2" s="1"/>
  <c r="AW34" i="2"/>
  <c r="AV34" i="2"/>
  <c r="AU34" i="2"/>
  <c r="AT34" i="2"/>
  <c r="AS34" i="2"/>
  <c r="AR34" i="2"/>
  <c r="AQ34" i="2"/>
  <c r="AP34" i="2"/>
  <c r="AO34" i="2"/>
  <c r="AN34" i="2"/>
  <c r="AM34" i="2"/>
  <c r="AL34" i="2"/>
  <c r="AY34" i="2" s="1"/>
  <c r="AW33" i="2"/>
  <c r="AV33" i="2"/>
  <c r="AU33" i="2"/>
  <c r="AT33" i="2"/>
  <c r="AS33" i="2"/>
  <c r="AR33" i="2"/>
  <c r="AQ33" i="2"/>
  <c r="AP33" i="2"/>
  <c r="AO33" i="2"/>
  <c r="AN33" i="2"/>
  <c r="AM33" i="2"/>
  <c r="AL33" i="2"/>
  <c r="AY33" i="2" s="1"/>
  <c r="AV32" i="2"/>
  <c r="AU32" i="2"/>
  <c r="AT32" i="2"/>
  <c r="AS32" i="2"/>
  <c r="AR32" i="2"/>
  <c r="AQ32" i="2"/>
  <c r="AP32" i="2"/>
  <c r="AO32" i="2"/>
  <c r="AN32" i="2"/>
  <c r="AM32" i="2"/>
  <c r="AW32" i="2" s="1"/>
  <c r="AL32" i="2"/>
  <c r="AY32" i="2" s="1"/>
  <c r="AV31" i="2"/>
  <c r="AU31" i="2"/>
  <c r="AT31" i="2"/>
  <c r="AS31" i="2"/>
  <c r="AR31" i="2"/>
  <c r="AQ31" i="2"/>
  <c r="AP31" i="2"/>
  <c r="AO31" i="2"/>
  <c r="AN31" i="2"/>
  <c r="AM31" i="2"/>
  <c r="AW31" i="2" s="1"/>
  <c r="AL31" i="2"/>
  <c r="AY31" i="2" s="1"/>
  <c r="AV30" i="2"/>
  <c r="AU30" i="2"/>
  <c r="AT30" i="2"/>
  <c r="AS30" i="2"/>
  <c r="AR30" i="2"/>
  <c r="AQ30" i="2"/>
  <c r="AP30" i="2"/>
  <c r="AO30" i="2"/>
  <c r="AN30" i="2"/>
  <c r="AM30" i="2"/>
  <c r="AW30" i="2" s="1"/>
  <c r="AL30" i="2"/>
  <c r="AY30" i="2" s="1"/>
  <c r="AW29" i="2"/>
  <c r="AV29" i="2"/>
  <c r="AU29" i="2"/>
  <c r="AT29" i="2"/>
  <c r="AS29" i="2"/>
  <c r="AR29" i="2"/>
  <c r="AQ29" i="2"/>
  <c r="AP29" i="2"/>
  <c r="AO29" i="2"/>
  <c r="AN29" i="2"/>
  <c r="AM29" i="2"/>
  <c r="AL29" i="2"/>
  <c r="AY29" i="2" s="1"/>
  <c r="AW28" i="2"/>
  <c r="AV28" i="2"/>
  <c r="AU28" i="2"/>
  <c r="AT28" i="2"/>
  <c r="AS28" i="2"/>
  <c r="AR28" i="2"/>
  <c r="AQ28" i="2"/>
  <c r="AP28" i="2"/>
  <c r="AO28" i="2"/>
  <c r="AN28" i="2"/>
  <c r="AM28" i="2"/>
  <c r="AL28" i="2"/>
  <c r="AY28" i="2" s="1"/>
  <c r="AV27" i="2"/>
  <c r="AU27" i="2"/>
  <c r="AT27" i="2"/>
  <c r="AS27" i="2"/>
  <c r="AR27" i="2"/>
  <c r="AQ27" i="2"/>
  <c r="AP27" i="2"/>
  <c r="AO27" i="2"/>
  <c r="AN27" i="2"/>
  <c r="AM27" i="2"/>
  <c r="AW27" i="2" s="1"/>
  <c r="AL27" i="2"/>
  <c r="AY27" i="2" s="1"/>
  <c r="AW26" i="2"/>
  <c r="AV26" i="2"/>
  <c r="AU26" i="2"/>
  <c r="AT26" i="2"/>
  <c r="AS26" i="2"/>
  <c r="AR26" i="2"/>
  <c r="AQ26" i="2"/>
  <c r="AP26" i="2"/>
  <c r="AO26" i="2"/>
  <c r="AN26" i="2"/>
  <c r="AM26" i="2"/>
  <c r="AL26" i="2"/>
  <c r="AY26" i="2" s="1"/>
  <c r="AW25" i="2"/>
  <c r="AV25" i="2"/>
  <c r="AU25" i="2"/>
  <c r="AT25" i="2"/>
  <c r="AS25" i="2"/>
  <c r="AR25" i="2"/>
  <c r="AQ25" i="2"/>
  <c r="AP25" i="2"/>
  <c r="AO25" i="2"/>
  <c r="AN25" i="2"/>
  <c r="AM25" i="2"/>
  <c r="AL25" i="2"/>
  <c r="AY25" i="2" s="1"/>
  <c r="AW24" i="2"/>
  <c r="AV24" i="2"/>
  <c r="AU24" i="2"/>
  <c r="AT24" i="2"/>
  <c r="AS24" i="2"/>
  <c r="AR24" i="2"/>
  <c r="AQ24" i="2"/>
  <c r="AP24" i="2"/>
  <c r="AO24" i="2"/>
  <c r="AN24" i="2"/>
  <c r="AM24" i="2"/>
  <c r="AL24" i="2"/>
  <c r="AY24" i="2" s="1"/>
  <c r="AW23" i="2"/>
  <c r="AV23" i="2"/>
  <c r="AU23" i="2"/>
  <c r="AT23" i="2"/>
  <c r="AS23" i="2"/>
  <c r="AR23" i="2"/>
  <c r="AQ23" i="2"/>
  <c r="AP23" i="2"/>
  <c r="AO23" i="2"/>
  <c r="AN23" i="2"/>
  <c r="AM23" i="2"/>
  <c r="AL23" i="2"/>
  <c r="AY23" i="2" s="1"/>
  <c r="AV22" i="2"/>
  <c r="AU22" i="2"/>
  <c r="AT22" i="2"/>
  <c r="AS22" i="2"/>
  <c r="AR22" i="2"/>
  <c r="AQ22" i="2"/>
  <c r="AP22" i="2"/>
  <c r="AO22" i="2"/>
  <c r="AN22" i="2"/>
  <c r="AM22" i="2"/>
  <c r="AW22" i="2" s="1"/>
  <c r="AL22" i="2"/>
  <c r="AY22" i="2" s="1"/>
  <c r="AW21" i="2"/>
  <c r="AV21" i="2"/>
  <c r="AU21" i="2"/>
  <c r="AT21" i="2"/>
  <c r="AS21" i="2"/>
  <c r="AR21" i="2"/>
  <c r="AQ21" i="2"/>
  <c r="AP21" i="2"/>
  <c r="AO21" i="2"/>
  <c r="AN21" i="2"/>
  <c r="AM21" i="2"/>
  <c r="AL21" i="2"/>
  <c r="AY21" i="2" s="1"/>
  <c r="AW20" i="2"/>
  <c r="AV20" i="2"/>
  <c r="AU20" i="2"/>
  <c r="AT20" i="2"/>
  <c r="AS20" i="2"/>
  <c r="AR20" i="2"/>
  <c r="AQ20" i="2"/>
  <c r="AP20" i="2"/>
  <c r="AO20" i="2"/>
  <c r="AN20" i="2"/>
  <c r="AM20" i="2"/>
  <c r="AL20" i="2"/>
  <c r="AY20" i="2" s="1"/>
  <c r="AW19" i="2"/>
  <c r="AV19" i="2"/>
  <c r="AU19" i="2"/>
  <c r="AT19" i="2"/>
  <c r="AS19" i="2"/>
  <c r="AR19" i="2"/>
  <c r="AQ19" i="2"/>
  <c r="AP19" i="2"/>
  <c r="AO19" i="2"/>
  <c r="AN19" i="2"/>
  <c r="AM19" i="2"/>
  <c r="AL19" i="2"/>
  <c r="AY19" i="2" s="1"/>
  <c r="AW18" i="2"/>
  <c r="AV18" i="2"/>
  <c r="AU18" i="2"/>
  <c r="AT18" i="2"/>
  <c r="AS18" i="2"/>
  <c r="AR18" i="2"/>
  <c r="AQ18" i="2"/>
  <c r="AP18" i="2"/>
  <c r="AO18" i="2"/>
  <c r="AN18" i="2"/>
  <c r="AM18" i="2"/>
  <c r="AL18" i="2"/>
  <c r="AY18" i="2" s="1"/>
  <c r="AW17" i="2"/>
  <c r="AV17" i="2"/>
  <c r="AU17" i="2"/>
  <c r="AT17" i="2"/>
  <c r="AS17" i="2"/>
  <c r="AR17" i="2"/>
  <c r="AQ17" i="2"/>
  <c r="AP17" i="2"/>
  <c r="AO17" i="2"/>
  <c r="AN17" i="2"/>
  <c r="AM17" i="2"/>
  <c r="AL17" i="2"/>
  <c r="AY17" i="2" s="1"/>
  <c r="AW16" i="2"/>
  <c r="AV16" i="2"/>
  <c r="AU16" i="2"/>
  <c r="AT16" i="2"/>
  <c r="AS16" i="2"/>
  <c r="AR16" i="2"/>
  <c r="AQ16" i="2"/>
  <c r="AP16" i="2"/>
  <c r="AO16" i="2"/>
  <c r="AN16" i="2"/>
  <c r="AM16" i="2"/>
  <c r="AL16" i="2"/>
  <c r="AY16" i="2" s="1"/>
  <c r="AW15" i="2"/>
  <c r="AV15" i="2"/>
  <c r="AU15" i="2"/>
  <c r="AT15" i="2"/>
  <c r="AS15" i="2"/>
  <c r="AR15" i="2"/>
  <c r="AQ15" i="2"/>
  <c r="AP15" i="2"/>
  <c r="AO15" i="2"/>
  <c r="AN15" i="2"/>
  <c r="AM15" i="2"/>
  <c r="AL15" i="2"/>
  <c r="AY15" i="2" s="1"/>
  <c r="AW14" i="2"/>
  <c r="AV14" i="2"/>
  <c r="AU14" i="2"/>
  <c r="AT14" i="2"/>
  <c r="AS14" i="2"/>
  <c r="AR14" i="2"/>
  <c r="AQ14" i="2"/>
  <c r="AP14" i="2"/>
  <c r="AO14" i="2"/>
  <c r="AN14" i="2"/>
  <c r="AM14" i="2"/>
  <c r="AL14" i="2"/>
  <c r="AY14" i="2" s="1"/>
  <c r="AV13" i="2"/>
  <c r="AU13" i="2"/>
  <c r="AT13" i="2"/>
  <c r="AS13" i="2"/>
  <c r="AR13" i="2"/>
  <c r="AQ13" i="2"/>
  <c r="AP13" i="2"/>
  <c r="AO13" i="2"/>
  <c r="AN13" i="2"/>
  <c r="AM13" i="2"/>
  <c r="AW13" i="2" s="1"/>
  <c r="AL13" i="2"/>
  <c r="AY13" i="2" s="1"/>
  <c r="AV12" i="2"/>
  <c r="AU12" i="2"/>
  <c r="AT12" i="2"/>
  <c r="AS12" i="2"/>
  <c r="AR12" i="2"/>
  <c r="AQ12" i="2"/>
  <c r="AP12" i="2"/>
  <c r="AO12" i="2"/>
  <c r="AN12" i="2"/>
  <c r="AM12" i="2"/>
  <c r="AW12" i="2" s="1"/>
  <c r="AL12" i="2"/>
  <c r="AY12" i="2" s="1"/>
  <c r="AW11" i="2"/>
  <c r="AV11" i="2"/>
  <c r="AU11" i="2"/>
  <c r="AT11" i="2"/>
  <c r="AS11" i="2"/>
  <c r="AR11" i="2"/>
  <c r="AQ11" i="2"/>
  <c r="AP11" i="2"/>
  <c r="AO11" i="2"/>
  <c r="AN11" i="2"/>
  <c r="AM11" i="2"/>
  <c r="AL11" i="2"/>
  <c r="AY11" i="2" s="1"/>
  <c r="AV10" i="2"/>
  <c r="AU10" i="2"/>
  <c r="AT10" i="2"/>
  <c r="AS10" i="2"/>
  <c r="AR10" i="2"/>
  <c r="AQ10" i="2"/>
  <c r="AP10" i="2"/>
  <c r="AO10" i="2"/>
  <c r="AN10" i="2"/>
  <c r="AM10" i="2"/>
  <c r="AW10" i="2" s="1"/>
  <c r="AL10" i="2"/>
  <c r="AY10" i="2" s="1"/>
  <c r="AW9" i="2"/>
  <c r="AV9" i="2"/>
  <c r="AU9" i="2"/>
  <c r="AT9" i="2"/>
  <c r="AS9" i="2"/>
  <c r="AR9" i="2"/>
  <c r="AQ9" i="2"/>
  <c r="AP9" i="2"/>
  <c r="AO9" i="2"/>
  <c r="AN9" i="2"/>
  <c r="AM9" i="2"/>
  <c r="AL9" i="2"/>
  <c r="AY9" i="2" s="1"/>
  <c r="AV8" i="2"/>
  <c r="AU8" i="2"/>
  <c r="AT8" i="2"/>
  <c r="AS8" i="2"/>
  <c r="AR8" i="2"/>
  <c r="AQ8" i="2"/>
  <c r="AP8" i="2"/>
  <c r="AO8" i="2"/>
  <c r="AN8" i="2"/>
  <c r="AM8" i="2"/>
  <c r="AW8" i="2" s="1"/>
  <c r="AL8" i="2"/>
  <c r="AY8" i="2" s="1"/>
  <c r="AW7" i="2"/>
  <c r="AV7" i="2"/>
  <c r="AU7" i="2"/>
  <c r="AT7" i="2"/>
  <c r="AS7" i="2"/>
  <c r="AR7" i="2"/>
  <c r="AQ7" i="2"/>
  <c r="AP7" i="2"/>
  <c r="AO7" i="2"/>
  <c r="AN7" i="2"/>
  <c r="AM7" i="2"/>
  <c r="AL7" i="2"/>
  <c r="AY7" i="2" s="1"/>
  <c r="AV6" i="2"/>
  <c r="AU6" i="2"/>
  <c r="AT6" i="2"/>
  <c r="AS6" i="2"/>
  <c r="AR6" i="2"/>
  <c r="AQ6" i="2"/>
  <c r="AP6" i="2"/>
  <c r="AO6" i="2"/>
  <c r="AN6" i="2"/>
  <c r="AM6" i="2"/>
  <c r="AW6" i="2" s="1"/>
  <c r="AL6" i="2"/>
  <c r="AY6" i="2" s="1"/>
  <c r="AV5" i="2"/>
  <c r="AU5" i="2"/>
  <c r="AT5" i="2"/>
  <c r="AS5" i="2"/>
  <c r="AR5" i="2"/>
  <c r="AQ5" i="2"/>
  <c r="AP5" i="2"/>
  <c r="AO5" i="2"/>
  <c r="AN5" i="2"/>
  <c r="AM5" i="2"/>
  <c r="AW5" i="2" s="1"/>
  <c r="AL5" i="2"/>
  <c r="AY5" i="2" s="1"/>
  <c r="AW4" i="2"/>
  <c r="AV4" i="2"/>
  <c r="AU4" i="2"/>
  <c r="AT4" i="2"/>
  <c r="AS4" i="2"/>
  <c r="AR4" i="2"/>
  <c r="AQ4" i="2"/>
  <c r="AP4" i="2"/>
  <c r="AO4" i="2"/>
  <c r="AN4" i="2"/>
  <c r="AM4" i="2"/>
  <c r="AL4" i="2"/>
  <c r="AY4" i="2" s="1"/>
  <c r="AW3" i="2"/>
  <c r="AV3" i="2"/>
  <c r="AU3" i="2"/>
  <c r="AT3" i="2"/>
  <c r="AS3" i="2"/>
  <c r="AR3" i="2"/>
  <c r="AQ3" i="2"/>
  <c r="AP3" i="2"/>
  <c r="AO3" i="2"/>
  <c r="AN3" i="2"/>
  <c r="AM3" i="2"/>
  <c r="AL3" i="2"/>
  <c r="AY3" i="2" s="1"/>
  <c r="AW2" i="2"/>
  <c r="AV2" i="2"/>
  <c r="AU2" i="2"/>
  <c r="AT2" i="2"/>
  <c r="AS2" i="2"/>
  <c r="AR2" i="2"/>
  <c r="AQ2" i="2"/>
  <c r="AP2" i="2"/>
  <c r="AO2" i="2"/>
  <c r="AN2" i="2"/>
  <c r="AM2" i="2"/>
  <c r="AL2" i="2"/>
  <c r="AY2" i="2" s="1"/>
  <c r="D20" i="16" l="1"/>
  <c r="D21" i="16"/>
  <c r="D12" i="16"/>
  <c r="D13" i="16"/>
  <c r="D14" i="16"/>
  <c r="D7" i="16"/>
  <c r="D15" i="16"/>
  <c r="D5" i="16"/>
  <c r="D6" i="16"/>
  <c r="D8" i="16"/>
  <c r="D41" i="15"/>
  <c r="D42" i="15"/>
  <c r="D10" i="15"/>
  <c r="D5" i="15"/>
  <c r="D12" i="15"/>
  <c r="D11" i="15"/>
  <c r="D6" i="15"/>
  <c r="G8" i="9"/>
  <c r="G7" i="9"/>
  <c r="G4" i="9"/>
  <c r="G5" i="12"/>
  <c r="H5" i="12" s="1"/>
  <c r="G10" i="9"/>
  <c r="G6" i="9"/>
  <c r="C9" i="12"/>
  <c r="B8" i="12"/>
  <c r="B7" i="12"/>
  <c r="G4" i="12"/>
  <c r="H4" i="12" s="1"/>
  <c r="G3" i="12"/>
  <c r="H3" i="12" s="1"/>
  <c r="E8" i="12"/>
  <c r="E9" i="12"/>
  <c r="G6" i="12"/>
  <c r="I6" i="12" s="1"/>
  <c r="B9" i="12"/>
  <c r="F9" i="12"/>
  <c r="E7" i="12"/>
  <c r="C7" i="12"/>
  <c r="C8" i="12"/>
  <c r="C10" i="10"/>
  <c r="D7" i="12"/>
  <c r="G2" i="9"/>
  <c r="G5" i="9"/>
  <c r="D8" i="12"/>
  <c r="F7" i="12"/>
  <c r="B7" i="11"/>
  <c r="D9" i="12"/>
  <c r="G15" i="9"/>
  <c r="F8" i="12"/>
  <c r="G14" i="9"/>
  <c r="G2" i="12"/>
  <c r="H2" i="12" s="1"/>
  <c r="G9" i="9"/>
  <c r="D8" i="8"/>
  <c r="E8" i="8" s="1"/>
  <c r="F8" i="8" s="1"/>
  <c r="D6" i="8"/>
  <c r="E6" i="8" s="1"/>
  <c r="F6" i="8" s="1"/>
  <c r="D7" i="8"/>
  <c r="E7" i="8" s="1"/>
  <c r="F7" i="8" s="1"/>
  <c r="D5" i="8"/>
  <c r="E5" i="8" s="1"/>
  <c r="F5" i="8" s="1"/>
  <c r="D4" i="8"/>
  <c r="E4" i="8" s="1"/>
  <c r="F4" i="8" s="1"/>
  <c r="D2" i="8"/>
  <c r="E2" i="8" s="1"/>
  <c r="F2" i="8" s="1"/>
  <c r="D9" i="8"/>
  <c r="E9" i="8" s="1"/>
  <c r="F9" i="8" s="1"/>
  <c r="D3" i="8"/>
  <c r="E3" i="8" s="1"/>
  <c r="F3" i="8" s="1"/>
  <c r="G3" i="9"/>
  <c r="B4" i="11"/>
  <c r="B5" i="11"/>
  <c r="G12" i="9"/>
  <c r="G13" i="9"/>
  <c r="B6" i="11"/>
  <c r="G11" i="9"/>
  <c r="C9" i="10"/>
  <c r="AZ10" i="2" l="1"/>
  <c r="AZ22" i="2"/>
  <c r="AZ34" i="2"/>
  <c r="AZ46" i="2"/>
  <c r="AZ58" i="2"/>
  <c r="AZ70" i="2"/>
  <c r="AZ82" i="2"/>
  <c r="AZ94" i="2"/>
  <c r="AZ106" i="2"/>
  <c r="AZ118" i="2"/>
  <c r="AZ142" i="2"/>
  <c r="AZ154" i="2"/>
  <c r="AZ166" i="2"/>
  <c r="AZ178" i="2"/>
  <c r="AZ190" i="2"/>
  <c r="AZ202" i="2"/>
  <c r="AZ5" i="2"/>
  <c r="AZ53" i="2"/>
  <c r="AZ65" i="2"/>
  <c r="AZ77" i="2"/>
  <c r="AZ89" i="2"/>
  <c r="AZ101" i="2"/>
  <c r="AZ113" i="2"/>
  <c r="AZ137" i="2"/>
  <c r="AZ161" i="2"/>
  <c r="AZ197" i="2"/>
  <c r="AZ209" i="2"/>
  <c r="AZ6" i="2"/>
  <c r="AZ42" i="2"/>
  <c r="AZ54" i="2"/>
  <c r="AZ66" i="2"/>
  <c r="AZ78" i="2"/>
  <c r="AZ90" i="2"/>
  <c r="AZ114" i="2"/>
  <c r="AZ174" i="2"/>
  <c r="AZ31" i="2"/>
  <c r="AZ55" i="2"/>
  <c r="AZ67" i="2"/>
  <c r="AZ79" i="2"/>
  <c r="AZ115" i="2"/>
  <c r="AZ139" i="2"/>
  <c r="AZ199" i="2"/>
  <c r="AZ8" i="2"/>
  <c r="AZ44" i="2"/>
  <c r="AZ56" i="2"/>
  <c r="AZ68" i="2"/>
  <c r="AZ104" i="2"/>
  <c r="AZ128" i="2"/>
  <c r="AZ188" i="2"/>
  <c r="AZ9" i="2"/>
  <c r="AZ45" i="2"/>
  <c r="AZ57" i="2"/>
  <c r="AZ69" i="2"/>
  <c r="AZ81" i="2"/>
  <c r="AZ93" i="2"/>
  <c r="AZ117" i="2"/>
  <c r="AZ141" i="2"/>
  <c r="AZ165" i="2"/>
  <c r="AZ189" i="2"/>
  <c r="AZ213" i="2"/>
  <c r="AZ11" i="2"/>
  <c r="AZ23" i="2"/>
  <c r="AZ35" i="2"/>
  <c r="AZ59" i="2"/>
  <c r="AZ71" i="2"/>
  <c r="AZ83" i="2"/>
  <c r="AZ107" i="2"/>
  <c r="AZ119" i="2"/>
  <c r="AZ131" i="2"/>
  <c r="AZ143" i="2"/>
  <c r="AZ155" i="2"/>
  <c r="AZ191" i="2"/>
  <c r="AZ215" i="2"/>
  <c r="AZ15" i="2"/>
  <c r="AZ171" i="2"/>
  <c r="AZ207" i="2"/>
  <c r="AZ4" i="2"/>
  <c r="AZ28" i="2"/>
  <c r="AZ52" i="2"/>
  <c r="AZ88" i="2"/>
  <c r="AZ100" i="2"/>
  <c r="AZ124" i="2"/>
  <c r="AZ148" i="2"/>
  <c r="AZ160" i="2"/>
  <c r="AZ184" i="2"/>
  <c r="AZ17" i="2"/>
  <c r="AZ149" i="2"/>
  <c r="AZ185" i="2"/>
  <c r="AZ18" i="2"/>
  <c r="AZ102" i="2"/>
  <c r="AZ150" i="2"/>
  <c r="AZ186" i="2"/>
  <c r="AZ19" i="2"/>
  <c r="AZ91" i="2"/>
  <c r="AZ127" i="2"/>
  <c r="AZ175" i="2"/>
  <c r="AZ211" i="2"/>
  <c r="AZ116" i="2"/>
  <c r="AZ164" i="2"/>
  <c r="AZ200" i="2"/>
  <c r="AZ21" i="2"/>
  <c r="AZ105" i="2"/>
  <c r="AZ153" i="2"/>
  <c r="AZ201" i="2"/>
  <c r="AZ12" i="2"/>
  <c r="AZ24" i="2"/>
  <c r="AZ48" i="2"/>
  <c r="AZ60" i="2"/>
  <c r="AZ72" i="2"/>
  <c r="AZ84" i="2"/>
  <c r="AZ96" i="2"/>
  <c r="AZ108" i="2"/>
  <c r="AZ120" i="2"/>
  <c r="AZ144" i="2"/>
  <c r="AZ156" i="2"/>
  <c r="AZ168" i="2"/>
  <c r="AZ192" i="2"/>
  <c r="AZ216" i="2"/>
  <c r="AZ13" i="2"/>
  <c r="AZ25" i="2"/>
  <c r="AZ37" i="2"/>
  <c r="AZ49" i="2"/>
  <c r="AZ61" i="2"/>
  <c r="AZ73" i="2"/>
  <c r="AZ85" i="2"/>
  <c r="AZ97" i="2"/>
  <c r="AZ121" i="2"/>
  <c r="AZ133" i="2"/>
  <c r="AZ145" i="2"/>
  <c r="AZ157" i="2"/>
  <c r="AZ169" i="2"/>
  <c r="AZ181" i="2"/>
  <c r="AZ193" i="2"/>
  <c r="AZ205" i="2"/>
  <c r="AZ217" i="2"/>
  <c r="AZ2" i="2"/>
  <c r="AZ14" i="2"/>
  <c r="AZ26" i="2"/>
  <c r="AZ38" i="2"/>
  <c r="AZ50" i="2"/>
  <c r="AZ62" i="2"/>
  <c r="AZ74" i="2"/>
  <c r="AZ86" i="2"/>
  <c r="AZ98" i="2"/>
  <c r="AZ110" i="2"/>
  <c r="AZ122" i="2"/>
  <c r="AZ134" i="2"/>
  <c r="AZ146" i="2"/>
  <c r="AZ158" i="2"/>
  <c r="AZ170" i="2"/>
  <c r="AZ182" i="2"/>
  <c r="AZ206" i="2"/>
  <c r="AZ218" i="2"/>
  <c r="AZ3" i="2"/>
  <c r="AZ27" i="2"/>
  <c r="AZ39" i="2"/>
  <c r="AZ51" i="2"/>
  <c r="AZ63" i="2"/>
  <c r="AZ75" i="2"/>
  <c r="AZ87" i="2"/>
  <c r="AZ99" i="2"/>
  <c r="AZ111" i="2"/>
  <c r="AZ123" i="2"/>
  <c r="AZ159" i="2"/>
  <c r="AZ183" i="2"/>
  <c r="AZ195" i="2"/>
  <c r="AZ16" i="2"/>
  <c r="AZ40" i="2"/>
  <c r="AZ64" i="2"/>
  <c r="AZ112" i="2"/>
  <c r="AZ172" i="2"/>
  <c r="AZ29" i="2"/>
  <c r="AZ125" i="2"/>
  <c r="AZ173" i="2"/>
  <c r="AZ30" i="2"/>
  <c r="AZ126" i="2"/>
  <c r="AZ7" i="2"/>
  <c r="AZ103" i="2"/>
  <c r="AZ151" i="2"/>
  <c r="AZ187" i="2"/>
  <c r="AZ20" i="2"/>
  <c r="AZ92" i="2"/>
  <c r="AZ140" i="2"/>
  <c r="AZ176" i="2"/>
  <c r="AZ212" i="2"/>
  <c r="AZ177" i="2"/>
  <c r="H6" i="12"/>
  <c r="J5" i="12"/>
  <c r="I5" i="12"/>
  <c r="I4" i="12"/>
  <c r="J4" i="12" s="1"/>
  <c r="I3" i="12"/>
  <c r="J3" i="12" s="1"/>
  <c r="J6" i="12"/>
  <c r="G7" i="12"/>
  <c r="I7" i="12" s="1"/>
  <c r="G9" i="12"/>
  <c r="H9" i="12" s="1"/>
  <c r="G8" i="12"/>
  <c r="H8" i="12" s="1"/>
  <c r="I2" i="12"/>
  <c r="J2" i="12" s="1"/>
  <c r="C13" i="11" l="1" a="1"/>
  <c r="C13" i="11" s="1"/>
  <c r="C16" i="11" a="1"/>
  <c r="C16" i="11" s="1"/>
  <c r="B13" i="11" a="1"/>
  <c r="B13" i="11" s="1"/>
  <c r="D13" i="11" s="1"/>
  <c r="B16" i="11" a="1"/>
  <c r="B16" i="11" s="1"/>
  <c r="D16" i="11" s="1"/>
  <c r="C12" i="11" a="1"/>
  <c r="C12" i="11" s="1"/>
  <c r="C15" i="11" a="1"/>
  <c r="C15" i="11" s="1"/>
  <c r="B15" i="11" a="1"/>
  <c r="B15" i="11" s="1"/>
  <c r="D15" i="11" s="1"/>
  <c r="C11" i="11" a="1"/>
  <c r="C11" i="11" s="1"/>
  <c r="B12" i="11" a="1"/>
  <c r="B12" i="11" s="1"/>
  <c r="D12" i="11" s="1"/>
  <c r="C14" i="11" a="1"/>
  <c r="C14" i="11" s="1"/>
  <c r="B11" i="11" a="1"/>
  <c r="B11" i="11" s="1"/>
  <c r="B14" i="11" a="1"/>
  <c r="B14" i="11" s="1"/>
  <c r="AX136" i="2"/>
  <c r="AX15" i="2"/>
  <c r="AX209" i="2"/>
  <c r="AX105" i="2"/>
  <c r="AX65" i="2"/>
  <c r="AX93" i="2"/>
  <c r="AX137" i="2"/>
  <c r="AX3" i="2"/>
  <c r="AX17" i="2"/>
  <c r="AX86" i="2"/>
  <c r="AX95" i="2"/>
  <c r="AX157" i="2"/>
  <c r="AX83" i="2"/>
  <c r="AX68" i="2"/>
  <c r="AX36" i="2"/>
  <c r="AX7" i="2"/>
  <c r="AX112" i="2"/>
  <c r="AX39" i="2"/>
  <c r="AX106" i="2"/>
  <c r="AX212" i="2"/>
  <c r="J9" i="12"/>
  <c r="AX56" i="2"/>
  <c r="AX151" i="2"/>
  <c r="AX192" i="2"/>
  <c r="AX148" i="2"/>
  <c r="AX78" i="2"/>
  <c r="AX180" i="2"/>
  <c r="AX124" i="2"/>
  <c r="H7" i="12"/>
  <c r="J7" i="12" s="1"/>
  <c r="AX48" i="2"/>
  <c r="AX51" i="2"/>
  <c r="I9" i="12"/>
  <c r="AX118" i="2"/>
  <c r="AX98" i="2"/>
  <c r="AX200" i="2"/>
  <c r="AX168" i="2"/>
  <c r="AX188" i="2"/>
  <c r="AX53" i="2"/>
  <c r="AX203" i="2"/>
  <c r="AX59" i="2"/>
  <c r="AX156" i="2"/>
  <c r="AX12" i="2"/>
  <c r="AX82" i="2"/>
  <c r="AX76" i="2"/>
  <c r="AX213" i="2"/>
  <c r="AX69" i="2"/>
  <c r="AX64" i="2"/>
  <c r="AX206" i="2"/>
  <c r="AX62" i="2"/>
  <c r="AX121" i="2"/>
  <c r="AX176" i="2"/>
  <c r="AX32" i="2"/>
  <c r="AX115" i="2"/>
  <c r="AX186" i="2"/>
  <c r="AX42" i="2"/>
  <c r="AX94" i="2"/>
  <c r="AX218" i="2"/>
  <c r="AX127" i="2"/>
  <c r="AX47" i="2"/>
  <c r="AX194" i="2"/>
  <c r="AX50" i="2"/>
  <c r="AX109" i="2"/>
  <c r="AX164" i="2"/>
  <c r="AX20" i="2"/>
  <c r="AX103" i="2"/>
  <c r="AX174" i="2"/>
  <c r="AX30" i="2"/>
  <c r="AX66" i="2"/>
  <c r="AX24" i="2"/>
  <c r="AX81" i="2"/>
  <c r="AX44" i="2"/>
  <c r="AX185" i="2"/>
  <c r="AX45" i="2"/>
  <c r="AX18" i="2"/>
  <c r="AX210" i="2"/>
  <c r="AX197" i="2"/>
  <c r="AX88" i="2"/>
  <c r="AX74" i="2"/>
  <c r="AX54" i="2"/>
  <c r="AX191" i="2"/>
  <c r="AX4" i="2"/>
  <c r="AX35" i="2"/>
  <c r="AX16" i="2"/>
  <c r="AX182" i="2"/>
  <c r="AX8" i="2"/>
  <c r="AX190" i="2"/>
  <c r="AX177" i="2"/>
  <c r="AX183" i="2"/>
  <c r="AX85" i="2"/>
  <c r="AX140" i="2"/>
  <c r="AX27" i="2"/>
  <c r="AX79" i="2"/>
  <c r="AX150" i="2"/>
  <c r="AX6" i="2"/>
  <c r="AX139" i="2"/>
  <c r="AX215" i="2"/>
  <c r="AX100" i="2"/>
  <c r="AX198" i="2"/>
  <c r="AX144" i="2"/>
  <c r="AX57" i="2"/>
  <c r="AX132" i="2"/>
  <c r="AX207" i="2"/>
  <c r="AX162" i="2"/>
  <c r="AX23" i="2"/>
  <c r="AX195" i="2"/>
  <c r="AX33" i="2"/>
  <c r="AX40" i="2"/>
  <c r="AX11" i="2"/>
  <c r="AX34" i="2"/>
  <c r="AX165" i="2"/>
  <c r="AX159" i="2"/>
  <c r="AX217" i="2"/>
  <c r="AX73" i="2"/>
  <c r="AX128" i="2"/>
  <c r="AX67" i="2"/>
  <c r="AX138" i="2"/>
  <c r="AX5" i="2"/>
  <c r="AX120" i="2"/>
  <c r="AX14" i="2"/>
  <c r="AX125" i="2"/>
  <c r="AX29" i="2"/>
  <c r="AX131" i="2"/>
  <c r="AX25" i="2"/>
  <c r="AX84" i="2"/>
  <c r="AX154" i="2"/>
  <c r="AX10" i="2"/>
  <c r="AX111" i="2"/>
  <c r="AX141" i="2"/>
  <c r="AX208" i="2"/>
  <c r="AX123" i="2"/>
  <c r="AX134" i="2"/>
  <c r="AX193" i="2"/>
  <c r="AX49" i="2"/>
  <c r="AX104" i="2"/>
  <c r="AX187" i="2"/>
  <c r="AX43" i="2"/>
  <c r="AX114" i="2"/>
  <c r="AX145" i="2"/>
  <c r="AX71" i="2"/>
  <c r="AX133" i="2"/>
  <c r="I8" i="12"/>
  <c r="J8" i="12" s="1"/>
  <c r="AX70" i="2"/>
  <c r="AX201" i="2"/>
  <c r="AX41" i="2"/>
  <c r="AX202" i="2"/>
  <c r="AX189" i="2"/>
  <c r="AX97" i="2"/>
  <c r="AX152" i="2"/>
  <c r="AX173" i="2"/>
  <c r="AX46" i="2"/>
  <c r="AX170" i="2"/>
  <c r="AX113" i="2"/>
  <c r="AX155" i="2"/>
  <c r="AX108" i="2"/>
  <c r="AX178" i="2"/>
  <c r="AX171" i="2"/>
  <c r="AX21" i="2"/>
  <c r="AX158" i="2"/>
  <c r="AX211" i="2"/>
  <c r="AX101" i="2"/>
  <c r="AX161" i="2"/>
  <c r="AX143" i="2"/>
  <c r="AX26" i="2"/>
  <c r="AX96" i="2"/>
  <c r="AX166" i="2"/>
  <c r="AX22" i="2"/>
  <c r="AX147" i="2"/>
  <c r="AX153" i="2"/>
  <c r="AX9" i="2"/>
  <c r="AX135" i="2"/>
  <c r="AX146" i="2"/>
  <c r="AX205" i="2"/>
  <c r="AX61" i="2"/>
  <c r="AX116" i="2"/>
  <c r="AX199" i="2"/>
  <c r="AX55" i="2"/>
  <c r="AX126" i="2"/>
  <c r="AX89" i="2"/>
  <c r="AX149" i="2"/>
  <c r="AX119" i="2"/>
  <c r="AX216" i="2"/>
  <c r="AX72" i="2"/>
  <c r="AX142" i="2"/>
  <c r="AX196" i="2"/>
  <c r="AX87" i="2"/>
  <c r="AX129" i="2"/>
  <c r="AX184" i="2"/>
  <c r="AX99" i="2"/>
  <c r="AX122" i="2"/>
  <c r="AX181" i="2"/>
  <c r="AX37" i="2"/>
  <c r="AX92" i="2"/>
  <c r="AX175" i="2"/>
  <c r="AX31" i="2"/>
  <c r="AX102" i="2"/>
  <c r="AX2" i="2"/>
  <c r="AX214" i="2"/>
  <c r="AX52" i="2"/>
  <c r="AX179" i="2"/>
  <c r="AX58" i="2"/>
  <c r="AX38" i="2"/>
  <c r="AX91" i="2"/>
  <c r="AX167" i="2"/>
  <c r="AX77" i="2"/>
  <c r="AX28" i="2"/>
  <c r="AX107" i="2"/>
  <c r="AX204" i="2"/>
  <c r="AX60" i="2"/>
  <c r="AX130" i="2"/>
  <c r="AX172" i="2"/>
  <c r="AX63" i="2"/>
  <c r="AX117" i="2"/>
  <c r="AX160" i="2"/>
  <c r="AX75" i="2"/>
  <c r="AX110" i="2"/>
  <c r="AX169" i="2"/>
  <c r="AX13" i="2"/>
  <c r="AX80" i="2"/>
  <c r="AX163" i="2"/>
  <c r="AX19" i="2"/>
  <c r="AX90" i="2"/>
  <c r="D14" i="11" l="1"/>
  <c r="D11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<sst xmlns="http://schemas.openxmlformats.org/spreadsheetml/2006/main" count="4166" uniqueCount="392">
  <si>
    <t>Establishment_ID</t>
  </si>
  <si>
    <t>Region</t>
  </si>
  <si>
    <t>Size_Category</t>
  </si>
  <si>
    <t>Screener_Employees</t>
  </si>
  <si>
    <t>ISIC_Rev4_Code</t>
  </si>
  <si>
    <t>ISIC_Division</t>
  </si>
  <si>
    <t>Manufacturing_Subsector</t>
  </si>
  <si>
    <t>Year_Started</t>
  </si>
  <si>
    <t>Manager_Experience_Years</t>
  </si>
  <si>
    <t>Survey_Weight_Median</t>
  </si>
  <si>
    <t>Annual_Sales_2024_UGX</t>
  </si>
  <si>
    <t>Annual_Sales_2022_UGX</t>
  </si>
  <si>
    <t>Capacity_Utilization_Pct</t>
  </si>
  <si>
    <t>Permanent_FT_Employees_2024</t>
  </si>
  <si>
    <t>Permanent_FT_Employees_2022</t>
  </si>
  <si>
    <t>Labor_Cost_2024_UGX</t>
  </si>
  <si>
    <t>Raw_Materials_Cost_2024_UGX</t>
  </si>
  <si>
    <t>Machinery_Replacement_Value_UGX</t>
  </si>
  <si>
    <t>Direct_Exports_Pct</t>
  </si>
  <si>
    <t>Monitors_Performance_Indicators</t>
  </si>
  <si>
    <t>Introduced_New_Product_Service</t>
  </si>
  <si>
    <t>Introduced_Improved_Process</t>
  </si>
  <si>
    <t>Working_Capital_Internal_Pct</t>
  </si>
  <si>
    <t>Working_Capital_Bank_Pct</t>
  </si>
  <si>
    <t>Working_Capital_Supplier_Credit_Pct</t>
  </si>
  <si>
    <t>Purchased_Fixed_Assets</t>
  </si>
  <si>
    <t>Equipment_Investment_Raw_UGX</t>
  </si>
  <si>
    <t>Has_Financial_Institution_Loan</t>
  </si>
  <si>
    <t>Applied_For_Loan_2024</t>
  </si>
  <si>
    <t>Experienced_Power_Outages</t>
  </si>
  <si>
    <t>Power_Outages_Per_Month_Raw</t>
  </si>
  <si>
    <t>Electricity_Obstacle</t>
  </si>
  <si>
    <t>Access_to_Finance_Obstacle</t>
  </si>
  <si>
    <t>Workforce_Skills_Obstacle</t>
  </si>
  <si>
    <t>Informal_Competition_Obstacle</t>
  </si>
  <si>
    <t>Biggest_Obstacle</t>
  </si>
  <si>
    <t>Figures_Response_Quality</t>
  </si>
  <si>
    <t>Establishment_Age_Years</t>
  </si>
  <si>
    <t>Equipment_Investment_UGX</t>
  </si>
  <si>
    <t>Power_Outages_Per_Month</t>
  </si>
  <si>
    <t>Direct_Exporter</t>
  </si>
  <si>
    <t>Sales_Growth_2022_2024_Pct</t>
  </si>
  <si>
    <t>Sales_CAGR_2022_2024_Pct</t>
  </si>
  <si>
    <t>Employment_Growth_2022_2024_Pct</t>
  </si>
  <si>
    <t>Sales_per_Employee_UGX</t>
  </si>
  <si>
    <t>Labor_Cost_Pct_of_Sales</t>
  </si>
  <si>
    <t>Raw_Materials_Cost_Pct_of_Sales</t>
  </si>
  <si>
    <t>Machinery_Value_per_Employee_UGX</t>
  </si>
  <si>
    <t>Equipment_Investment_Pct_of_Sales</t>
  </si>
  <si>
    <t>Eastern</t>
  </si>
  <si>
    <t>Large</t>
  </si>
  <si>
    <t>Manufacture of food products</t>
  </si>
  <si>
    <t>Yes</t>
  </si>
  <si>
    <t>No</t>
  </si>
  <si>
    <t>Moderate obstacle</t>
  </si>
  <si>
    <t>Major obstacle</t>
  </si>
  <si>
    <t>Tax rates</t>
  </si>
  <si>
    <t>Are in some case taken from books and in some case estimates</t>
  </si>
  <si>
    <t>Small</t>
  </si>
  <si>
    <t>Manufacture of wearing apparel</t>
  </si>
  <si>
    <t>Not asked (survey skip: screener employment &lt;20)</t>
  </si>
  <si>
    <t>Very severe obstacle</t>
  </si>
  <si>
    <t>No obstacle</t>
  </si>
  <si>
    <t>Electricity</t>
  </si>
  <si>
    <t>Are taken directly from establishment records</t>
  </si>
  <si>
    <t>Central</t>
  </si>
  <si>
    <t>Medium</t>
  </si>
  <si>
    <t>Minor obstacle</t>
  </si>
  <si>
    <t>Corruption</t>
  </si>
  <si>
    <t>Manufacture of basic pharmaceutical products</t>
  </si>
  <si>
    <t>Access to finance</t>
  </si>
  <si>
    <t>Manufacture of furniture</t>
  </si>
  <si>
    <t>Printing and reproduction of recorded media</t>
  </si>
  <si>
    <t>Manufacture of basic metals</t>
  </si>
  <si>
    <t>Western</t>
  </si>
  <si>
    <t>Are estimates computed with some precision</t>
  </si>
  <si>
    <t>Manufacture of fabricated metal products</t>
  </si>
  <si>
    <t>Customs and trade regulations</t>
  </si>
  <si>
    <t>Manufacture of chemicals and chemical products</t>
  </si>
  <si>
    <t>Practices of competitors in the informal sector</t>
  </si>
  <si>
    <t>Northern</t>
  </si>
  <si>
    <t>Access to land</t>
  </si>
  <si>
    <t>Business licensing and permits</t>
  </si>
  <si>
    <t>Manufacture of other non-metallic mineral products</t>
  </si>
  <si>
    <t>Manufacture of machinery and equipment n.e.c.</t>
  </si>
  <si>
    <t>Are arbitrary and unreliable numbers</t>
  </si>
  <si>
    <t>Crime, theft and disorder</t>
  </si>
  <si>
    <t>Tax administration</t>
  </si>
  <si>
    <t>Manufacture of wood and products of wood/cork</t>
  </si>
  <si>
    <t>Manufacture of beverages</t>
  </si>
  <si>
    <t>Repair and installation of machinery and equipment</t>
  </si>
  <si>
    <t>Inadequately educated workforce</t>
  </si>
  <si>
    <t>Manufacture of leather and related products</t>
  </si>
  <si>
    <t>Other manufacturing</t>
  </si>
  <si>
    <t>Courts</t>
  </si>
  <si>
    <t>Manufacture of electrical equipment</t>
  </si>
  <si>
    <t>Manufacture of rubber and plastics products</t>
  </si>
  <si>
    <t>Manufacture of textiles</t>
  </si>
  <si>
    <t>Manufacture of coke and refined petroleum products</t>
  </si>
  <si>
    <t>Manufacture of tobacco products</t>
  </si>
  <si>
    <t>Transport</t>
  </si>
  <si>
    <t>Political instability</t>
  </si>
  <si>
    <t>Manufacture of paper and paper products</t>
  </si>
  <si>
    <t>idstd</t>
  </si>
  <si>
    <t>a2</t>
  </si>
  <si>
    <t>a6a</t>
  </si>
  <si>
    <t>a6c</t>
  </si>
  <si>
    <t>d1a2_v4</t>
  </si>
  <si>
    <t>b5</t>
  </si>
  <si>
    <t>b7</t>
  </si>
  <si>
    <t>wmedian</t>
  </si>
  <si>
    <t>d2</t>
  </si>
  <si>
    <t>n3</t>
  </si>
  <si>
    <t>f1</t>
  </si>
  <si>
    <t>l1</t>
  </si>
  <si>
    <t>l2</t>
  </si>
  <si>
    <t>n2a</t>
  </si>
  <si>
    <t>n2e</t>
  </si>
  <si>
    <t>n7a</t>
  </si>
  <si>
    <t>d3c</t>
  </si>
  <si>
    <t>r2</t>
  </si>
  <si>
    <t>h1</t>
  </si>
  <si>
    <t>h5</t>
  </si>
  <si>
    <t>k3a</t>
  </si>
  <si>
    <t>k3bc</t>
  </si>
  <si>
    <t>k3f</t>
  </si>
  <si>
    <t>k4</t>
  </si>
  <si>
    <t>n5a</t>
  </si>
  <si>
    <t>k82a</t>
  </si>
  <si>
    <t>k162a</t>
  </si>
  <si>
    <t>c6</t>
  </si>
  <si>
    <t>c7</t>
  </si>
  <si>
    <t>c30a</t>
  </si>
  <si>
    <t>k30</t>
  </si>
  <si>
    <t>l30b</t>
  </si>
  <si>
    <t>e30</t>
  </si>
  <si>
    <t>m1a</t>
  </si>
  <si>
    <t>a17</t>
  </si>
  <si>
    <t>Type</t>
  </si>
  <si>
    <t>Stata Variable</t>
  </si>
  <si>
    <t>Clean Column</t>
  </si>
  <si>
    <t>Questionnaire Section</t>
  </si>
  <si>
    <t>Description / Question</t>
  </si>
  <si>
    <t>Cleaning / Formula / Use</t>
  </si>
  <si>
    <t>Manufacturing Rows</t>
  </si>
  <si>
    <t>Structural Blanks</t>
  </si>
  <si>
    <t>Special-Code Responses</t>
  </si>
  <si>
    <t>Usable / Informative</t>
  </si>
  <si>
    <t>Source</t>
  </si>
  <si>
    <t>Identifier</t>
  </si>
  <si>
    <t>WEB STD FIRMID</t>
  </si>
  <si>
    <t>Retained as anonymized unique establishment identifier.</t>
  </si>
  <si>
    <t>Sampling</t>
  </si>
  <si>
    <t>Sampling Region</t>
  </si>
  <si>
    <t>Decoded numeric region code to Central/Western/Eastern/Northern.</t>
  </si>
  <si>
    <t>Sampling Size</t>
  </si>
  <si>
    <t>Decoded size stratum to Small/Medium/Large.</t>
  </si>
  <si>
    <t>Screening</t>
  </si>
  <si>
    <t>Screener Size</t>
  </si>
  <si>
    <t>Retained numeric screener employment count.</t>
  </si>
  <si>
    <t>Sales &amp; Supplies / Classification</t>
  </si>
  <si>
    <t>Main Product/Service ISIC (Rev. 4) Code</t>
  </si>
  <si>
    <t>Retained realized 4-digit ISIC Rev. 4 code; used to filter manufacturing divisions 10–33.</t>
  </si>
  <si>
    <t>General Information</t>
  </si>
  <si>
    <t>Year Establishment Began Operations</t>
  </si>
  <si>
    <t>Code -9 converted to blank.</t>
  </si>
  <si>
    <t>How Many Years of Experience Working In This Sector Does The Top Manager Have?</t>
  </si>
  <si>
    <t>Sampling Weight</t>
  </si>
  <si>
    <t>Weight according to median eligibility</t>
  </si>
  <si>
    <t>Retained median sampling weight. Use for population-level inference.</t>
  </si>
  <si>
    <t>Sales &amp; Supplies</t>
  </si>
  <si>
    <t>In Last Fiscal Year, What Were This EstablishmentâS Total Annual Sales?</t>
  </si>
  <si>
    <t>Special negative codes converted to blank; currency is UGX.</t>
  </si>
  <si>
    <t>What were the establishment's sales 3 years ago?</t>
  </si>
  <si>
    <t>Codes -7/-9 converted to blank. Questionnaire asks FY[a20y-2], which is 2022 because reference FY is 2024.</t>
  </si>
  <si>
    <t>Capacity / Manufacturing</t>
  </si>
  <si>
    <t>In Last FY, What Was The Capacity Utilization (%) of This Establishment?</t>
  </si>
  <si>
    <t>Code -9 converted to blank; percentage stored 0–100.</t>
  </si>
  <si>
    <t>Labor</t>
  </si>
  <si>
    <t>Num. Permanent, Full-Time Employees At End of Last Fiscal Year</t>
  </si>
  <si>
    <t>Retained numeric count.</t>
  </si>
  <si>
    <t>Num. Permanent, Full-Time Employees At End of 3 Fiscal Years Ago</t>
  </si>
  <si>
    <t>Codes -7/-9 converted to blank; baseline is FY2022.</t>
  </si>
  <si>
    <t>Performance</t>
  </si>
  <si>
    <t>Total Labor Cost (Incl. Wages, Salaries, Bonuses, Etc) In Last Fiscal Year</t>
  </si>
  <si>
    <t>Code -9 converted to blank; currency is UGX.</t>
  </si>
  <si>
    <t>Cost of Raw Materials And Intermediate Goods Used In Prod. In Last Fiscal Year</t>
  </si>
  <si>
    <t>Code -9 converted to blank; manufacturing only; currency is UGX.</t>
  </si>
  <si>
    <t>Cost For Establishment To Re-Purchase All of Its Machinery</t>
  </si>
  <si>
    <t>Sales &amp; Supplies / Trade</t>
  </si>
  <si>
    <t>% of Sales: Direct Exports</t>
  </si>
  <si>
    <t>Retained percentage of sales from direct exports (0–100).</t>
  </si>
  <si>
    <t>Management Practices</t>
  </si>
  <si>
    <t>Did This Establishment Monitor Any Production/Service Performance Indicators?</t>
  </si>
  <si>
    <t>Decoded Yes/No. Structural blanks labeled “Not asked (survey skip: screener employment &lt;20)”.</t>
  </si>
  <si>
    <t>Innovation</t>
  </si>
  <si>
    <t>New Products/Services Introduced Over Last 3 Yrs</t>
  </si>
  <si>
    <t>Decoded Yes/No.</t>
  </si>
  <si>
    <t>During Last 3 Yrs, Establishment Introduced New/Significantly Improved Process</t>
  </si>
  <si>
    <t>Finance</t>
  </si>
  <si>
    <t>% of Working Capital Financed From Internal Funds/Retained Earnings</t>
  </si>
  <si>
    <t>Code -9 converted to blank; percentage of working capital.</t>
  </si>
  <si>
    <t>% of Working Capital Borrowed From Banks</t>
  </si>
  <si>
    <t>% of Working Capital Purchased On Credit/Advances From Suppliers /Customers</t>
  </si>
  <si>
    <t>Did This Establishment Purchase Any Fixed Assets In Last FY?</t>
  </si>
  <si>
    <t>Decoded Yes/No; non-substantive special responses converted to blank.</t>
  </si>
  <si>
    <t>Finance / Investment</t>
  </si>
  <si>
    <t>Total Annual Expenditure For Purchases of Equipment In Last FY</t>
  </si>
  <si>
    <t>Code -9 converted to blank. Structurally blank when no fixed assets were purchased.</t>
  </si>
  <si>
    <t>Establishment Has A Loan From A Financial Institution?</t>
  </si>
  <si>
    <t>Decoded Yes/No; code -9 converted to blank.</t>
  </si>
  <si>
    <t>In Last FY, Did Establishment Apply For Loans from Financial Institution?</t>
  </si>
  <si>
    <t>Infrastructure</t>
  </si>
  <si>
    <t>Over Last FY, Did This Establishment Experience Power Outages?</t>
  </si>
  <si>
    <t>Number of Power Outages Experienced In A Typical Month In Last Fiscal Year</t>
  </si>
  <si>
    <t>Code -9 converted to blank. Structurally blank where no outages were experienced.</t>
  </si>
  <si>
    <t>Business Environment</t>
  </si>
  <si>
    <t>How Much of An Obstacle: Electricity To Operations of This Establishment?</t>
  </si>
  <si>
    <t>Decoded 0–4 obstacle scale; non-substantive special responses converted to blank.</t>
  </si>
  <si>
    <t>How Much of An Obstacle: Access To Finance</t>
  </si>
  <si>
    <t>How Much of An Obstacle: Inadequately Educated Workforce?</t>
  </si>
  <si>
    <t>Decoded 0–4 obstacle scale.</t>
  </si>
  <si>
    <t>How Much of An Obstacle: Practices of Competitors In Informal Sector?</t>
  </si>
  <si>
    <t>Biggest Obstacle Affecting The Operation of This Establishment</t>
  </si>
  <si>
    <t>Decoded biggest-obstacle category; non-substantive special responses converted to blank.</t>
  </si>
  <si>
    <t>Post-interview Quality</t>
  </si>
  <si>
    <t>Responses To The Questions About Figures Areâ¦</t>
  </si>
  <si>
    <t>Decoded interviewer assessment of reliability/source of reported figures.</t>
  </si>
  <si>
    <t>Derived</t>
  </si>
  <si>
    <t>Derived from ISIC_Rev4_Code</t>
  </si>
  <si>
    <t>Derived Metric</t>
  </si>
  <si>
    <t>2-digit ISIC manufacturing division (10–33).</t>
  </si>
  <si>
    <t>Integer division of 4-digit ISIC code by 100.</t>
  </si>
  <si>
    <t>Calculated where required inputs are valid</t>
  </si>
  <si>
    <t>Derived from ISIC_Division</t>
  </si>
  <si>
    <t>Human-readable manufacturing division label.</t>
  </si>
  <si>
    <t>Mapped from ISIC Rev. 4 division.</t>
  </si>
  <si>
    <t>Derived formula</t>
  </si>
  <si>
    <t>Approximate establishment age at reference fiscal year 2024.</t>
  </si>
  <si>
    <t>2024 minus Year_Started when Year_Started is present.</t>
  </si>
  <si>
    <t>Equipment investment in FY2024 with survey skip normalized.</t>
  </si>
  <si>
    <t>0 when Purchased_Fixed_Assets=No; otherwise Equipment_Investment_Raw_UGX.</t>
  </si>
  <si>
    <t>Typical monthly outages with survey skip normalized.</t>
  </si>
  <si>
    <t>0 when Experienced_Power_Outages=No; otherwise raw outage count.</t>
  </si>
  <si>
    <t>Whether direct exports were greater than zero.</t>
  </si>
  <si>
    <t>Yes if Direct_Exports_Pct&gt;0, otherwise No.</t>
  </si>
  <si>
    <t>Total sales growth from FY2022 to FY2024.</t>
  </si>
  <si>
    <t>Annual_Sales_2024 / Annual_Sales_2022 - 1.</t>
  </si>
  <si>
    <t>Annualized sales growth over the two-year FY2022–FY2024 interval.</t>
  </si>
  <si>
    <t>(Annual_Sales_2024/Annual_Sales_2022)^(1/2)-1.</t>
  </si>
  <si>
    <t>Permanent full-time employment growth from FY2022 to FY2024.</t>
  </si>
  <si>
    <t>Employees_2024 / Employees_2022 - 1.</t>
  </si>
  <si>
    <t>Sales productivity proxy.</t>
  </si>
  <si>
    <t>Annual_Sales_2024 / Permanent_FT_Employees_2024.</t>
  </si>
  <si>
    <t>Labor cost intensity.</t>
  </si>
  <si>
    <t>Labor_Cost_2024 / Annual_Sales_2024.</t>
  </si>
  <si>
    <t>Raw-material cost intensity.</t>
  </si>
  <si>
    <t>Raw_Materials_Cost_2024 / Annual_Sales_2024.</t>
  </si>
  <si>
    <t>Capital-intensity proxy.</t>
  </si>
  <si>
    <t>Machinery_Replacement_Value / Permanent_FT_Employees_2024.</t>
  </si>
  <si>
    <t>Equipment investment intensity.</t>
  </si>
  <si>
    <t>Equipment_Investment_UGX / Annual_Sales_2024.</t>
  </si>
  <si>
    <t>Metric</t>
  </si>
  <si>
    <t>Total Rows</t>
  </si>
  <si>
    <t>Blank Cells</t>
  </si>
  <si>
    <t>Usable Values</t>
  </si>
  <si>
    <t>Completeness %</t>
  </si>
  <si>
    <t>Status</t>
  </si>
  <si>
    <t>K</t>
  </si>
  <si>
    <t>L</t>
  </si>
  <si>
    <t>M</t>
  </si>
  <si>
    <t>N</t>
  </si>
  <si>
    <t>O</t>
  </si>
  <si>
    <t>P</t>
  </si>
  <si>
    <t>Q</t>
  </si>
  <si>
    <t>R</t>
  </si>
  <si>
    <t>H</t>
  </si>
  <si>
    <t>Field</t>
  </si>
  <si>
    <t>Column</t>
  </si>
  <si>
    <t>Expected Type</t>
  </si>
  <si>
    <t>Valid Rule</t>
  </si>
  <si>
    <t>Nonblank</t>
  </si>
  <si>
    <t>Numeric</t>
  </si>
  <si>
    <t>Type Issues</t>
  </si>
  <si>
    <t>Range Issues</t>
  </si>
  <si>
    <t>&gt;0 and ≤2024</t>
  </si>
  <si>
    <t>I</t>
  </si>
  <si>
    <t>≥1</t>
  </si>
  <si>
    <t>≥0</t>
  </si>
  <si>
    <t>0–100</t>
  </si>
  <si>
    <t>S</t>
  </si>
  <si>
    <t>W</t>
  </si>
  <si>
    <t>X</t>
  </si>
  <si>
    <t>Y</t>
  </si>
  <si>
    <t>Total Manufacturers</t>
  </si>
  <si>
    <t>Median Annual Sales</t>
  </si>
  <si>
    <t>Average Annual Sales</t>
  </si>
  <si>
    <t>Median Employees</t>
  </si>
  <si>
    <t>Median Capacity Utilization</t>
  </si>
  <si>
    <t>Direct Exporter Rate</t>
  </si>
  <si>
    <t>Median Establishment Age</t>
  </si>
  <si>
    <t>Row Labels</t>
  </si>
  <si>
    <t>Grand Total</t>
  </si>
  <si>
    <t>Count of Establishment_ID</t>
  </si>
  <si>
    <t>Manufacturing Establishments by Region</t>
  </si>
  <si>
    <t>Manufacturing Establishments by Size</t>
  </si>
  <si>
    <t>Establishments Size</t>
  </si>
  <si>
    <t>Regions</t>
  </si>
  <si>
    <t>Top 10 Manufacturing Subsectors</t>
  </si>
  <si>
    <t>Sales_Outlier_Flag</t>
  </si>
  <si>
    <t>Firm_Age_Band</t>
  </si>
  <si>
    <t>&lt;10 years</t>
  </si>
  <si>
    <t>10-19 years</t>
  </si>
  <si>
    <t>20-29 years</t>
  </si>
  <si>
    <t>30+ years</t>
  </si>
  <si>
    <t>Unknown</t>
  </si>
  <si>
    <t>Firm Establishment</t>
  </si>
  <si>
    <t>Manufacturing Establishments by Firm Age</t>
  </si>
  <si>
    <t>KPI Summary</t>
  </si>
  <si>
    <t>Performance Threshold</t>
  </si>
  <si>
    <t>Value</t>
  </si>
  <si>
    <t>Valid CAGR Records</t>
  </si>
  <si>
    <t>Q1 - Low Growth Threshold</t>
  </si>
  <si>
    <t>Median Sales CAGR</t>
  </si>
  <si>
    <t>Q3 - High Growth Threshold</t>
  </si>
  <si>
    <t>Minimum</t>
  </si>
  <si>
    <t>Q1</t>
  </si>
  <si>
    <t>Median</t>
  </si>
  <si>
    <t>Q3</t>
  </si>
  <si>
    <t>Maximum</t>
  </si>
  <si>
    <t>IQR</t>
  </si>
  <si>
    <t>Lower Bound</t>
  </si>
  <si>
    <t>Upper Bound</t>
  </si>
  <si>
    <t>Outlier Count</t>
  </si>
  <si>
    <t>Annual Sales 2024</t>
  </si>
  <si>
    <t>Permanent Employees 2024</t>
  </si>
  <si>
    <t>Labor Cost 2024</t>
  </si>
  <si>
    <t>Raw Materials Cost 2024</t>
  </si>
  <si>
    <t>Machinery Replacement Value</t>
  </si>
  <si>
    <t>Equipment Investment</t>
  </si>
  <si>
    <t>Sales per Employee</t>
  </si>
  <si>
    <t>Sales Growth 2022–2024</t>
  </si>
  <si>
    <t>Difference</t>
  </si>
  <si>
    <t>Performance_Group</t>
  </si>
  <si>
    <t>High Growth</t>
  </si>
  <si>
    <t>Low Growth</t>
  </si>
  <si>
    <t>Middle</t>
  </si>
  <si>
    <t>Missing</t>
  </si>
  <si>
    <t>Sales CAGR</t>
  </si>
  <si>
    <t>Capacity Utilization</t>
  </si>
  <si>
    <t>Employment Growth</t>
  </si>
  <si>
    <t>Firm Age</t>
  </si>
  <si>
    <t>Manager Experience</t>
  </si>
  <si>
    <t>Column Labels</t>
  </si>
  <si>
    <t>Performance by Business Size</t>
  </si>
  <si>
    <t>Performance by Region</t>
  </si>
  <si>
    <t>Performance by Firm Age</t>
  </si>
  <si>
    <t>Exporters vs Non-Exporters</t>
  </si>
  <si>
    <t>Process Innovation</t>
  </si>
  <si>
    <t>Product/Service Innovation</t>
  </si>
  <si>
    <t>Business Question 1: What Distinguishes Higher-performing Manufacturers?</t>
  </si>
  <si>
    <t>Business Question 2: How do financing and investment patterns relate to manufacturing performance?</t>
  </si>
  <si>
    <t>Median Internal Financing %</t>
  </si>
  <si>
    <t>Median Bank Financing %</t>
  </si>
  <si>
    <t>Median Equipment Investment % of Sales</t>
  </si>
  <si>
    <t>Difference (pp / %)</t>
  </si>
  <si>
    <t xml:space="preserve">Difference </t>
  </si>
  <si>
    <t>Has Financial Institution Loan</t>
  </si>
  <si>
    <t>Purchased Fixed Assets</t>
  </si>
  <si>
    <t>Firms Purchasing Fixed Assets</t>
  </si>
  <si>
    <t>Median Equipment Investment (UGX)</t>
  </si>
  <si>
    <t>Share of Investors with Financial Institution Loan</t>
  </si>
  <si>
    <t>Average Internal Financing %</t>
  </si>
  <si>
    <t>Average Bank Financing %</t>
  </si>
  <si>
    <t>Average Supplier Credit %</t>
  </si>
  <si>
    <t xml:space="preserve">Equipment Investment Intensity </t>
  </si>
  <si>
    <t xml:space="preserve">Finance &amp; Investment </t>
  </si>
  <si>
    <t>Average Financing Mix Table</t>
  </si>
  <si>
    <t>Business Question 3 — Operational Constraints &amp; Performance</t>
  </si>
  <si>
    <t>Constraint</t>
  </si>
  <si>
    <t>Low - High</t>
  </si>
  <si>
    <t>Access to Finance</t>
  </si>
  <si>
    <t>Workforce Skills</t>
  </si>
  <si>
    <t>Informal Competition</t>
  </si>
  <si>
    <t>Power Outage Exposure</t>
  </si>
  <si>
    <t>Major/Very Severe Obstacle Rates</t>
  </si>
  <si>
    <t>Share Experiencing Power Outages</t>
  </si>
  <si>
    <t>Median Outages per Month</t>
  </si>
  <si>
    <t>Median Outages Among Affected Firms</t>
  </si>
  <si>
    <t>Biggest Obstacles</t>
  </si>
  <si>
    <t>Constraint Severity</t>
  </si>
  <si>
    <t>Low - High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</si>
</sst>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"/>
    <numFmt numFmtId="166" formatCode="0.0%"/>
    <numFmt numFmtId="167" formatCode="[$UGX]\ #,##0"/>
    <numFmt numFmtId="168" formatCode="0.0&quot;%&quot;"/>
    <numFmt numFmtId="169" formatCode="0.0&quot; pp&quot;"/>
  </numFmts>
  <fonts count="11">
    <font>
      <sz val="11"/>
      <name val="Carlito"/>
    </font>
    <font>
      <b/>
      <sz val="11"/>
      <color rgb="FFFFFFFF"/>
      <name val="Carlito"/>
    </font>
    <font>
      <b/>
      <sz val="10"/>
      <name val="Arial Unicode MS"/>
    </font>
    <font>
      <b/>
      <sz val="11"/>
      <name val="Calibri"/>
      <family val="2"/>
      <scheme val="minor"/>
    </font>
    <font>
      <sz val="11"/>
      <name val="Carlito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3" xfId="0" applyBorder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6" fontId="0" fillId="0" borderId="4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8" xfId="0" applyBorder="1" applyAlignment="1">
      <alignment vertical="top"/>
    </xf>
    <xf numFmtId="1" fontId="0" fillId="0" borderId="8" xfId="0" applyNumberFormat="1" applyBorder="1" applyAlignment="1">
      <alignment vertical="top"/>
    </xf>
    <xf numFmtId="164" fontId="0" fillId="0" borderId="8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165" fontId="0" fillId="0" borderId="8" xfId="0" applyNumberFormat="1" applyBorder="1" applyAlignment="1">
      <alignment vertical="top"/>
    </xf>
    <xf numFmtId="166" fontId="0" fillId="0" borderId="8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6" fontId="0" fillId="0" borderId="9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 wrapText="1"/>
    </xf>
    <xf numFmtId="10" fontId="0" fillId="0" borderId="0" xfId="0" applyNumberFormat="1"/>
    <xf numFmtId="0" fontId="0" fillId="0" borderId="10" xfId="0" applyBorder="1"/>
    <xf numFmtId="3" fontId="0" fillId="0" borderId="10" xfId="0" applyNumberFormat="1" applyBorder="1"/>
    <xf numFmtId="1" fontId="0" fillId="0" borderId="10" xfId="0" applyNumberFormat="1" applyBorder="1"/>
    <xf numFmtId="0" fontId="0" fillId="0" borderId="11" xfId="0" applyBorder="1"/>
    <xf numFmtId="166" fontId="0" fillId="0" borderId="1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2" fillId="0" borderId="0" xfId="0" applyFont="1"/>
    <xf numFmtId="0" fontId="3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5" xfId="0" applyFont="1" applyBorder="1"/>
    <xf numFmtId="0" fontId="5" fillId="0" borderId="17" xfId="0" applyFont="1" applyBorder="1"/>
    <xf numFmtId="0" fontId="5" fillId="0" borderId="10" xfId="0" pivotButton="1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0" xfId="0" applyFont="1" applyBorder="1" applyAlignment="1">
      <alignment horizontal="left"/>
    </xf>
    <xf numFmtId="166" fontId="5" fillId="0" borderId="14" xfId="0" applyNumberFormat="1" applyFont="1" applyBorder="1"/>
    <xf numFmtId="0" fontId="6" fillId="0" borderId="13" xfId="0" applyFont="1" applyBorder="1"/>
    <xf numFmtId="0" fontId="5" fillId="0" borderId="18" xfId="0" applyFont="1" applyBorder="1"/>
    <xf numFmtId="166" fontId="5" fillId="0" borderId="19" xfId="0" applyNumberFormat="1" applyFont="1" applyBorder="1"/>
    <xf numFmtId="0" fontId="5" fillId="0" borderId="16" xfId="0" applyFont="1" applyBorder="1"/>
    <xf numFmtId="10" fontId="5" fillId="0" borderId="10" xfId="0" applyNumberFormat="1" applyFont="1" applyBorder="1"/>
    <xf numFmtId="10" fontId="5" fillId="0" borderId="14" xfId="0" applyNumberFormat="1" applyFont="1" applyBorder="1"/>
    <xf numFmtId="167" fontId="5" fillId="0" borderId="10" xfId="0" applyNumberFormat="1" applyFont="1" applyBorder="1"/>
    <xf numFmtId="167" fontId="5" fillId="0" borderId="14" xfId="0" applyNumberFormat="1" applyFont="1" applyBorder="1"/>
    <xf numFmtId="166" fontId="5" fillId="0" borderId="10" xfId="0" applyNumberFormat="1" applyFont="1" applyBorder="1"/>
    <xf numFmtId="1" fontId="5" fillId="0" borderId="10" xfId="1" applyNumberFormat="1" applyFont="1" applyBorder="1"/>
    <xf numFmtId="1" fontId="5" fillId="0" borderId="14" xfId="1" applyNumberFormat="1" applyFont="1" applyBorder="1"/>
    <xf numFmtId="0" fontId="5" fillId="0" borderId="11" xfId="0" applyFont="1" applyBorder="1"/>
    <xf numFmtId="0" fontId="5" fillId="0" borderId="19" xfId="0" applyFont="1" applyBorder="1"/>
    <xf numFmtId="0" fontId="7" fillId="0" borderId="0" xfId="0" applyFont="1"/>
    <xf numFmtId="166" fontId="0" fillId="0" borderId="10" xfId="0" applyNumberFormat="1" applyBorder="1"/>
    <xf numFmtId="0" fontId="8" fillId="0" borderId="0" xfId="0" applyFont="1"/>
    <xf numFmtId="168" fontId="5" fillId="0" borderId="10" xfId="1" applyNumberFormat="1" applyFont="1" applyBorder="1"/>
    <xf numFmtId="169" fontId="5" fillId="0" borderId="14" xfId="1" applyNumberFormat="1" applyFont="1" applyBorder="1"/>
    <xf numFmtId="168" fontId="5" fillId="0" borderId="11" xfId="1" applyNumberFormat="1" applyFont="1" applyBorder="1"/>
    <xf numFmtId="169" fontId="5" fillId="0" borderId="19" xfId="1" applyNumberFormat="1" applyFont="1" applyBorder="1"/>
    <xf numFmtId="0" fontId="5" fillId="0" borderId="9" xfId="0" applyFont="1" applyBorder="1"/>
    <xf numFmtId="168" fontId="5" fillId="0" borderId="9" xfId="1" applyNumberFormat="1" applyFont="1" applyBorder="1"/>
    <xf numFmtId="169" fontId="5" fillId="0" borderId="9" xfId="1" applyNumberFormat="1" applyFont="1" applyBorder="1"/>
    <xf numFmtId="166" fontId="5" fillId="0" borderId="10" xfId="1" applyNumberFormat="1" applyFont="1" applyBorder="1"/>
    <xf numFmtId="166" fontId="5" fillId="0" borderId="14" xfId="1" applyNumberFormat="1" applyFont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7" xfId="0" applyFont="1" applyFill="1" applyBorder="1"/>
    <xf numFmtId="166" fontId="5" fillId="0" borderId="11" xfId="0" applyNumberFormat="1" applyFont="1" applyBorder="1"/>
    <xf numFmtId="0" fontId="9" fillId="4" borderId="13" xfId="0" applyFont="1" applyFill="1" applyBorder="1"/>
    <xf numFmtId="0" fontId="9" fillId="4" borderId="10" xfId="0" applyFont="1" applyFill="1" applyBorder="1"/>
    <xf numFmtId="0" fontId="9" fillId="4" borderId="14" xfId="0" applyFont="1" applyFill="1" applyBorder="1"/>
    <xf numFmtId="3" fontId="5" fillId="0" borderId="10" xfId="2" applyNumberFormat="1" applyFont="1" applyBorder="1"/>
    <xf numFmtId="3" fontId="5" fillId="0" borderId="14" xfId="2" applyNumberFormat="1" applyFont="1" applyBorder="1"/>
    <xf numFmtId="168" fontId="5" fillId="0" borderId="10" xfId="0" applyNumberFormat="1" applyFont="1" applyBorder="1"/>
    <xf numFmtId="168" fontId="5" fillId="0" borderId="14" xfId="0" applyNumberFormat="1" applyFont="1" applyBorder="1"/>
    <xf numFmtId="168" fontId="5" fillId="0" borderId="11" xfId="0" applyNumberFormat="1" applyFont="1" applyBorder="1"/>
    <xf numFmtId="168" fontId="5" fillId="0" borderId="19" xfId="0" applyNumberFormat="1" applyFont="1" applyBorder="1"/>
    <xf numFmtId="0" fontId="9" fillId="4" borderId="15" xfId="0" applyFont="1" applyFill="1" applyBorder="1"/>
    <xf numFmtId="0" fontId="9" fillId="4" borderId="16" xfId="0" applyFont="1" applyFill="1" applyBorder="1"/>
    <xf numFmtId="0" fontId="9" fillId="4" borderId="17" xfId="0" applyFont="1" applyFill="1" applyBorder="1"/>
    <xf numFmtId="166" fontId="0" fillId="0" borderId="14" xfId="0" applyNumberFormat="1" applyBorder="1"/>
    <xf numFmtId="2" fontId="5" fillId="0" borderId="10" xfId="0" applyNumberFormat="1" applyFont="1" applyBorder="1"/>
    <xf numFmtId="2" fontId="5" fillId="0" borderId="14" xfId="0" applyNumberFormat="1" applyFont="1" applyBorder="1"/>
    <xf numFmtId="2" fontId="5" fillId="0" borderId="11" xfId="0" applyNumberFormat="1" applyFont="1" applyBorder="1"/>
    <xf numFmtId="2" fontId="5" fillId="0" borderId="19" xfId="0" applyNumberFormat="1" applyFont="1" applyBorder="1"/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5" fillId="0" borderId="12" xfId="0" applyFont="1" applyBorder="1" applyAlignment="1">
      <alignment horizontal="center"/>
    </xf>
    <xf numFmtId="0" fontId="5" fillId="0" borderId="0" xfId="0" applyFont="1"/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21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%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0.0&quot; pp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&quot;%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0.0&quot;%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66" formatCode="0.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6" formatCode="0.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%"/>
    </dxf>
    <dxf>
      <numFmt numFmtId="166" formatCode="0.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6" formatCode="0.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numFmt numFmtId="166" formatCode="0.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%"/>
    </dxf>
    <dxf>
      <numFmt numFmtId="0" formatCode="General"/>
    </dxf>
    <dxf>
      <numFmt numFmtId="0" formatCode="General"/>
    </dxf>
    <dxf>
      <numFmt numFmtId="166" formatCode="0.0%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[Uganda_Manufacturing_2025_Working_Dataset.xlsx]EDA_Overview!PivotTable2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522374663796949"/>
          <c:y val="0.17333333333333334"/>
          <c:w val="0.61514485886114634"/>
          <c:h val="0.49878110236220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EDA_Overview!$F$4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EDA_Overview!$E$5:$E$9</c:f>
              <c:strCache>
                <c:ptCount val="4"/>
                <c:pt idx="0">
                  <c:v>Central</c:v>
                </c:pt>
                <c:pt idx="1">
                  <c:v>Western</c:v>
                </c:pt>
                <c:pt idx="2">
                  <c:v>Eastern</c:v>
                </c:pt>
                <c:pt idx="3">
                  <c:v>Northern</c:v>
                </c:pt>
              </c:strCache>
            </c:strRef>
          </c:cat>
          <c:val>
            <c:numRef>
              <c:f>EDA_Overview!$F$5:$F$9</c:f>
              <c:numCache>
                <c:formatCode>General</c:formatCode>
                <c:ptCount val="4"/>
                <c:pt idx="0">
                  <c:v>78</c:v>
                </c:pt>
                <c:pt idx="1">
                  <c:v>51</c:v>
                </c:pt>
                <c:pt idx="2">
                  <c:v>51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12-4210-923C-74C231ADF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06384"/>
        <c:axId val="1485325936"/>
      </c:barChart>
      <c:catAx>
        <c:axId val="9420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5936"/>
        <c:crosses val="autoZero"/>
        <c:auto val="1"/>
        <c:lblAlgn val="ctr"/>
        <c:lblOffset val="100"/>
        <c:noMultiLvlLbl val="0"/>
      </c:catAx>
      <c:valAx>
        <c:axId val="14853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layout>
            <c:manualLayout>
              <c:xMode val="edge"/>
              <c:yMode val="edge"/>
              <c:x val="3.0166603190349243E-2"/>
              <c:y val="7.592335958005250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036860549911564"/>
          <c:y val="0.37531758530183729"/>
          <c:w val="0.13463326926653854"/>
          <c:h val="0.1175007874015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[Uganda_Manufacturing_2025_Working_Dataset.xlsx]EDA_Overview!PivotTable3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27080298277132"/>
          <c:y val="0.14336917562724014"/>
          <c:w val="0.62890326847623046"/>
          <c:h val="0.550879123980470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EDA_Overview!$F$20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EDA_Overview!$E$21:$E$24</c:f>
              <c:strCache>
                <c:ptCount val="3"/>
                <c:pt idx="0">
                  <c:v>Medium</c:v>
                </c:pt>
                <c:pt idx="1">
                  <c:v>Small</c:v>
                </c:pt>
                <c:pt idx="2">
                  <c:v>Large</c:v>
                </c:pt>
              </c:strCache>
            </c:strRef>
          </c:cat>
          <c:val>
            <c:numRef>
              <c:f>EDA_Overview!$F$21:$F$24</c:f>
              <c:numCache>
                <c:formatCode>General</c:formatCode>
                <c:ptCount val="3"/>
                <c:pt idx="0">
                  <c:v>77</c:v>
                </c:pt>
                <c:pt idx="1">
                  <c:v>75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6-4A20-A6D0-717714CCB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06384"/>
        <c:axId val="1485325936"/>
      </c:barChart>
      <c:catAx>
        <c:axId val="94206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Size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25936"/>
        <c:crosses val="autoZero"/>
        <c:auto val="1"/>
        <c:lblAlgn val="ctr"/>
        <c:lblOffset val="100"/>
        <c:noMultiLvlLbl val="0"/>
      </c:catAx>
      <c:valAx>
        <c:axId val="148532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layout>
            <c:manualLayout>
              <c:xMode val="edge"/>
              <c:yMode val="edge"/>
              <c:x val="1.8917896329928113E-2"/>
              <c:y val="0.14258977036472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[Uganda_Manufacturing_2025_Working_Dataset.xlsx]EDA_Overview!PivotTable4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29022225018431"/>
          <c:y val="9.2592592592592587E-2"/>
          <c:w val="0.41074195780843931"/>
          <c:h val="0.743503207932341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EDA_Overview!$C$33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EDA_Overview!$B$34:$B$45</c:f>
              <c:strCache>
                <c:ptCount val="11"/>
                <c:pt idx="0">
                  <c:v>Manufacture of food products</c:v>
                </c:pt>
                <c:pt idx="1">
                  <c:v>Manufacture of fabricated metal products</c:v>
                </c:pt>
                <c:pt idx="2">
                  <c:v>Manufacture of furniture</c:v>
                </c:pt>
                <c:pt idx="3">
                  <c:v>Printing and reproduction of recorded media</c:v>
                </c:pt>
                <c:pt idx="4">
                  <c:v>Manufacture of wearing apparel</c:v>
                </c:pt>
                <c:pt idx="5">
                  <c:v>Manufacture of beverages</c:v>
                </c:pt>
                <c:pt idx="6">
                  <c:v>Manufacture of other non-metallic mineral products</c:v>
                </c:pt>
                <c:pt idx="7">
                  <c:v>Manufacture of chemicals and chemical products</c:v>
                </c:pt>
                <c:pt idx="8">
                  <c:v>Manufacture of wood and products of wood/cork</c:v>
                </c:pt>
                <c:pt idx="9">
                  <c:v>Manufacture of rubber and plastics products</c:v>
                </c:pt>
                <c:pt idx="10">
                  <c:v>Manufacture of basic metals</c:v>
                </c:pt>
              </c:strCache>
            </c:strRef>
          </c:cat>
          <c:val>
            <c:numRef>
              <c:f>EDA_Overview!$C$34:$C$45</c:f>
              <c:numCache>
                <c:formatCode>General</c:formatCode>
                <c:ptCount val="11"/>
                <c:pt idx="0">
                  <c:v>86</c:v>
                </c:pt>
                <c:pt idx="1">
                  <c:v>32</c:v>
                </c:pt>
                <c:pt idx="2">
                  <c:v>17</c:v>
                </c:pt>
                <c:pt idx="3">
                  <c:v>14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F-4A4D-9E14-40C6A28A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439024"/>
        <c:axId val="1485285136"/>
      </c:barChart>
      <c:catAx>
        <c:axId val="1727439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Manufacturing Subsector</a:t>
                </a:r>
              </a:p>
            </c:rich>
          </c:tx>
          <c:layout>
            <c:manualLayout>
              <c:xMode val="edge"/>
              <c:yMode val="edge"/>
              <c:x val="3.4828928498258555E-2"/>
              <c:y val="0.20287401574803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85136"/>
        <c:crosses val="autoZero"/>
        <c:auto val="1"/>
        <c:lblAlgn val="ctr"/>
        <c:lblOffset val="100"/>
        <c:noMultiLvlLbl val="0"/>
      </c:catAx>
      <c:valAx>
        <c:axId val="148528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4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[Uganda_Manufacturing_2025_Working_Dataset.xlsx]EDA_Overview!PivotTable7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EDA_Overview!$F$52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EDA_Overview!$E$53:$E$58</c:f>
              <c:strCache>
                <c:ptCount val="5"/>
                <c:pt idx="0">
                  <c:v>&lt;10 years</c:v>
                </c:pt>
                <c:pt idx="1">
                  <c:v>10-19 years</c:v>
                </c:pt>
                <c:pt idx="2">
                  <c:v>20-29 years</c:v>
                </c:pt>
                <c:pt idx="3">
                  <c:v>30+ years</c:v>
                </c:pt>
                <c:pt idx="4">
                  <c:v>Unknown</c:v>
                </c:pt>
              </c:strCache>
            </c:strRef>
          </c:cat>
          <c:val>
            <c:numRef>
              <c:f>EDA_Overview!$F$53:$F$58</c:f>
              <c:numCache>
                <c:formatCode>General</c:formatCode>
                <c:ptCount val="5"/>
                <c:pt idx="0">
                  <c:v>41</c:v>
                </c:pt>
                <c:pt idx="1">
                  <c:v>85</c:v>
                </c:pt>
                <c:pt idx="2">
                  <c:v>48</c:v>
                </c:pt>
                <c:pt idx="3">
                  <c:v>42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AAF-B567-9C08C220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0919120"/>
        <c:axId val="161366960"/>
      </c:barChart>
      <c:catAx>
        <c:axId val="9091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Firm Age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6960"/>
        <c:crosses val="autoZero"/>
        <c:auto val="1"/>
        <c:lblAlgn val="ctr"/>
        <c:lblOffset val="100"/>
        <c:noMultiLvlLbl val="0"/>
      </c:catAx>
      <c:valAx>
        <c:axId val="16136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Count of Establishment_ID</a:t>
                </a:r>
              </a:p>
            </c:rich>
          </c:tx>
          <c:layout>
            <c:manualLayout>
              <c:xMode val="edge"/>
              <c:yMode val="edge"/>
              <c:x val="3.7750094375235937E-2"/>
              <c:y val="0.10223918575063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Growth Performance by Firm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24779596483579"/>
          <c:y val="0.14689586944517199"/>
          <c:w val="0.55091885389326334"/>
          <c:h val="0.651931321084864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EDA_Performance!$G$10:$G$11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EDA_Performance!$F$12:$F$15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EDA_Performance!$G$12:$G$15</c:f>
              <c:numCache>
                <c:formatCode>0.0%</c:formatCode>
                <c:ptCount val="3"/>
                <c:pt idx="0">
                  <c:v>0.2</c:v>
                </c:pt>
                <c:pt idx="1">
                  <c:v>0.18181818181818182</c:v>
                </c:pt>
                <c:pt idx="2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A-4AE8-9708-442E02C44D06}"/>
            </c:ext>
          </c:extLst>
        </c:ser>
        <c:ser>
          <c:idx val="1"/>
          <c:order val="1"/>
          <c:tx>
            <c:strRef>
              <c:f>EDA_Performance!$H$10:$H$11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EDA_Performance!$F$12:$F$15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EDA_Performance!$H$12:$H$15</c:f>
              <c:numCache>
                <c:formatCode>0.0%</c:formatCode>
                <c:ptCount val="3"/>
                <c:pt idx="0">
                  <c:v>0.29230769230769232</c:v>
                </c:pt>
                <c:pt idx="1">
                  <c:v>0.20779220779220781</c:v>
                </c:pt>
                <c:pt idx="2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A-4AE8-9708-442E02C44D06}"/>
            </c:ext>
          </c:extLst>
        </c:ser>
        <c:ser>
          <c:idx val="2"/>
          <c:order val="2"/>
          <c:tx>
            <c:strRef>
              <c:f>EDA_Performance!$I$10:$I$11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EDA_Performance!$F$12:$F$15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EDA_Performance!$I$12:$I$15</c:f>
              <c:numCache>
                <c:formatCode>0.0%</c:formatCode>
                <c:ptCount val="3"/>
                <c:pt idx="0">
                  <c:v>0.41538461538461541</c:v>
                </c:pt>
                <c:pt idx="1">
                  <c:v>0.42857142857142855</c:v>
                </c:pt>
                <c:pt idx="2">
                  <c:v>0.42666666666666669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A-4AE8-9708-442E02C44D06}"/>
            </c:ext>
          </c:extLst>
        </c:ser>
        <c:ser>
          <c:idx val="3"/>
          <c:order val="3"/>
          <c:tx>
            <c:strRef>
              <c:f>EDA_Performance!$J$10:$J$11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EDA_Performance!$F$12:$F$15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EDA_Performance!$J$12:$J$15</c:f>
              <c:numCache>
                <c:formatCode>0.0%</c:formatCode>
                <c:ptCount val="3"/>
                <c:pt idx="0">
                  <c:v>9.2307692307692313E-2</c:v>
                </c:pt>
                <c:pt idx="1">
                  <c:v>0.18181818181818182</c:v>
                </c:pt>
                <c:pt idx="2">
                  <c:v>0.14666666666666667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0A-4AE8-9708-442E02C44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8561183"/>
        <c:axId val="1700995663"/>
      </c:barChart>
      <c:catAx>
        <c:axId val="170856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Business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95663"/>
        <c:crosses val="autoZero"/>
        <c:auto val="1"/>
        <c:lblAlgn val="ctr"/>
        <c:lblOffset val="100"/>
        <c:noMultiLvlLbl val="0"/>
      </c:catAx>
      <c:valAx>
        <c:axId val="17009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6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Growth Performance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52749054433003"/>
          <c:y val="0.16100178890876565"/>
          <c:w val="0.51494385659038344"/>
          <c:h val="0.5516825602524192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EDA_Performance!$G$22:$G$23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EDA_Performance!$F$24:$F$28</c:f>
              <c:strCache>
                <c:ptCount val="4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Western</c:v>
                </c:pt>
              </c:strCache>
            </c:strRef>
          </c:cat>
          <c:val>
            <c:numRef>
              <c:f>EDA_Performance!$G$24:$G$28</c:f>
              <c:numCache>
                <c:formatCode>0.0%</c:formatCode>
                <c:ptCount val="4"/>
                <c:pt idx="0">
                  <c:v>0.29487179487179488</c:v>
                </c:pt>
                <c:pt idx="1">
                  <c:v>0.17647058823529413</c:v>
                </c:pt>
                <c:pt idx="2">
                  <c:v>0.13513513513513514</c:v>
                </c:pt>
                <c:pt idx="3">
                  <c:v>0.19607843137254902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2-4A8F-8AE2-43CCA9BFB2EA}"/>
            </c:ext>
          </c:extLst>
        </c:ser>
        <c:ser>
          <c:idx val="1"/>
          <c:order val="1"/>
          <c:tx>
            <c:strRef>
              <c:f>EDA_Performance!$H$22:$H$23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EDA_Performance!$F$24:$F$28</c:f>
              <c:strCache>
                <c:ptCount val="4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Western</c:v>
                </c:pt>
              </c:strCache>
            </c:strRef>
          </c:cat>
          <c:val>
            <c:numRef>
              <c:f>EDA_Performance!$H$24:$H$28</c:f>
              <c:numCache>
                <c:formatCode>0.0%</c:formatCode>
                <c:ptCount val="4"/>
                <c:pt idx="0">
                  <c:v>0.21794871794871795</c:v>
                </c:pt>
                <c:pt idx="1">
                  <c:v>0.17647058823529413</c:v>
                </c:pt>
                <c:pt idx="2">
                  <c:v>0.21621621621621623</c:v>
                </c:pt>
                <c:pt idx="3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2-4A8F-8AE2-43CCA9BFB2EA}"/>
            </c:ext>
          </c:extLst>
        </c:ser>
        <c:ser>
          <c:idx val="2"/>
          <c:order val="2"/>
          <c:tx>
            <c:strRef>
              <c:f>EDA_Performance!$I$22:$I$23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EDA_Performance!$F$24:$F$28</c:f>
              <c:strCache>
                <c:ptCount val="4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Western</c:v>
                </c:pt>
              </c:strCache>
            </c:strRef>
          </c:cat>
          <c:val>
            <c:numRef>
              <c:f>EDA_Performance!$I$24:$I$28</c:f>
              <c:numCache>
                <c:formatCode>0.0%</c:formatCode>
                <c:ptCount val="4"/>
                <c:pt idx="0">
                  <c:v>0.38461538461538464</c:v>
                </c:pt>
                <c:pt idx="1">
                  <c:v>0.6470588235294118</c:v>
                </c:pt>
                <c:pt idx="2">
                  <c:v>0.51351351351351349</c:v>
                </c:pt>
                <c:pt idx="3">
                  <c:v>0.19607843137254902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2-4A8F-8AE2-43CCA9BFB2EA}"/>
            </c:ext>
          </c:extLst>
        </c:ser>
        <c:ser>
          <c:idx val="3"/>
          <c:order val="3"/>
          <c:tx>
            <c:strRef>
              <c:f>EDA_Performance!$J$22:$J$23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EDA_Performance!$F$24:$F$28</c:f>
              <c:strCache>
                <c:ptCount val="4"/>
                <c:pt idx="0">
                  <c:v>Central</c:v>
                </c:pt>
                <c:pt idx="1">
                  <c:v>Eastern</c:v>
                </c:pt>
                <c:pt idx="2">
                  <c:v>Northern</c:v>
                </c:pt>
                <c:pt idx="3">
                  <c:v>Western</c:v>
                </c:pt>
              </c:strCache>
            </c:strRef>
          </c:cat>
          <c:val>
            <c:numRef>
              <c:f>EDA_Performance!$J$24:$J$28</c:f>
              <c:numCache>
                <c:formatCode>0.0%</c:formatCode>
                <c:ptCount val="4"/>
                <c:pt idx="0">
                  <c:v>0.10256410256410256</c:v>
                </c:pt>
                <c:pt idx="1">
                  <c:v>0</c:v>
                </c:pt>
                <c:pt idx="2">
                  <c:v>0.13513513513513514</c:v>
                </c:pt>
                <c:pt idx="3">
                  <c:v>0.35294117647058826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2-4A8F-8AE2-43CCA9BFB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1384207"/>
        <c:axId val="1225653007"/>
      </c:barChart>
      <c:catAx>
        <c:axId val="189138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653007"/>
        <c:crosses val="autoZero"/>
        <c:auto val="1"/>
        <c:lblAlgn val="ctr"/>
        <c:lblOffset val="100"/>
        <c:noMultiLvlLbl val="0"/>
      </c:catAx>
      <c:valAx>
        <c:axId val="12256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3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Growth Performance by Firm Age</a:t>
            </a:r>
          </a:p>
        </c:rich>
      </c:tx>
      <c:layout>
        <c:manualLayout>
          <c:xMode val="edge"/>
          <c:yMode val="edge"/>
          <c:x val="0.23864274103183244"/>
          <c:y val="4.874805775454930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70945714901968"/>
          <c:y val="0.15109019081601949"/>
          <c:w val="0.54824634776341608"/>
          <c:h val="0.5864502662334870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EDA_Performance!$G$37:$G$38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EDA_Performance!$F$39:$F$44</c:f>
              <c:strCache>
                <c:ptCount val="5"/>
                <c:pt idx="0">
                  <c:v>&lt;10 years</c:v>
                </c:pt>
                <c:pt idx="1">
                  <c:v>10-19 years</c:v>
                </c:pt>
                <c:pt idx="2">
                  <c:v>20-29 years</c:v>
                </c:pt>
                <c:pt idx="3">
                  <c:v>30+ years</c:v>
                </c:pt>
                <c:pt idx="4">
                  <c:v>Unknown</c:v>
                </c:pt>
              </c:strCache>
            </c:strRef>
          </c:cat>
          <c:val>
            <c:numRef>
              <c:f>EDA_Performance!$G$39:$G$44</c:f>
              <c:numCache>
                <c:formatCode>0.0%</c:formatCode>
                <c:ptCount val="5"/>
                <c:pt idx="0">
                  <c:v>0.14634146341463414</c:v>
                </c:pt>
                <c:pt idx="1">
                  <c:v>0.22352941176470589</c:v>
                </c:pt>
                <c:pt idx="2">
                  <c:v>0.33333333333333331</c:v>
                </c:pt>
                <c:pt idx="3">
                  <c:v>0.14285714285714285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E4A-B333-A2DA49FA4F15}"/>
            </c:ext>
          </c:extLst>
        </c:ser>
        <c:ser>
          <c:idx val="1"/>
          <c:order val="1"/>
          <c:tx>
            <c:strRef>
              <c:f>EDA_Performance!$H$37:$H$38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EDA_Performance!$F$39:$F$44</c:f>
              <c:strCache>
                <c:ptCount val="5"/>
                <c:pt idx="0">
                  <c:v>&lt;10 years</c:v>
                </c:pt>
                <c:pt idx="1">
                  <c:v>10-19 years</c:v>
                </c:pt>
                <c:pt idx="2">
                  <c:v>20-29 years</c:v>
                </c:pt>
                <c:pt idx="3">
                  <c:v>30+ years</c:v>
                </c:pt>
                <c:pt idx="4">
                  <c:v>Unknown</c:v>
                </c:pt>
              </c:strCache>
            </c:strRef>
          </c:cat>
          <c:val>
            <c:numRef>
              <c:f>EDA_Performance!$H$39:$H$44</c:f>
              <c:numCache>
                <c:formatCode>0.0%</c:formatCode>
                <c:ptCount val="5"/>
                <c:pt idx="0">
                  <c:v>0.14634146341463414</c:v>
                </c:pt>
                <c:pt idx="1">
                  <c:v>0.24705882352941178</c:v>
                </c:pt>
                <c:pt idx="2">
                  <c:v>0.1875</c:v>
                </c:pt>
                <c:pt idx="3">
                  <c:v>0.26190476190476192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57-4E4A-B333-A2DA49FA4F15}"/>
            </c:ext>
          </c:extLst>
        </c:ser>
        <c:ser>
          <c:idx val="2"/>
          <c:order val="2"/>
          <c:tx>
            <c:strRef>
              <c:f>EDA_Performance!$I$37:$I$38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EDA_Performance!$F$39:$F$44</c:f>
              <c:strCache>
                <c:ptCount val="5"/>
                <c:pt idx="0">
                  <c:v>&lt;10 years</c:v>
                </c:pt>
                <c:pt idx="1">
                  <c:v>10-19 years</c:v>
                </c:pt>
                <c:pt idx="2">
                  <c:v>20-29 years</c:v>
                </c:pt>
                <c:pt idx="3">
                  <c:v>30+ years</c:v>
                </c:pt>
                <c:pt idx="4">
                  <c:v>Unknown</c:v>
                </c:pt>
              </c:strCache>
            </c:strRef>
          </c:cat>
          <c:val>
            <c:numRef>
              <c:f>EDA_Performance!$I$39:$I$44</c:f>
              <c:numCache>
                <c:formatCode>0.0%</c:formatCode>
                <c:ptCount val="5"/>
                <c:pt idx="0">
                  <c:v>0.41463414634146339</c:v>
                </c:pt>
                <c:pt idx="1">
                  <c:v>0.44705882352941179</c:v>
                </c:pt>
                <c:pt idx="2">
                  <c:v>0.33333333333333331</c:v>
                </c:pt>
                <c:pt idx="3">
                  <c:v>0.5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57-4E4A-B333-A2DA49FA4F15}"/>
            </c:ext>
          </c:extLst>
        </c:ser>
        <c:ser>
          <c:idx val="3"/>
          <c:order val="3"/>
          <c:tx>
            <c:strRef>
              <c:f>EDA_Performance!$J$37:$J$38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EDA_Performance!$F$39:$F$44</c:f>
              <c:strCache>
                <c:ptCount val="5"/>
                <c:pt idx="0">
                  <c:v>&lt;10 years</c:v>
                </c:pt>
                <c:pt idx="1">
                  <c:v>10-19 years</c:v>
                </c:pt>
                <c:pt idx="2">
                  <c:v>20-29 years</c:v>
                </c:pt>
                <c:pt idx="3">
                  <c:v>30+ years</c:v>
                </c:pt>
                <c:pt idx="4">
                  <c:v>Unknown</c:v>
                </c:pt>
              </c:strCache>
            </c:strRef>
          </c:cat>
          <c:val>
            <c:numRef>
              <c:f>EDA_Performance!$J$39:$J$44</c:f>
              <c:numCache>
                <c:formatCode>0.0%</c:formatCode>
                <c:ptCount val="5"/>
                <c:pt idx="0">
                  <c:v>0.29268292682926828</c:v>
                </c:pt>
                <c:pt idx="1">
                  <c:v>8.2352941176470587E-2</c:v>
                </c:pt>
                <c:pt idx="2">
                  <c:v>0.14583333333333334</c:v>
                </c:pt>
                <c:pt idx="3">
                  <c:v>9.5238095238095233E-2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57-4E4A-B333-A2DA49FA4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3075999"/>
        <c:axId val="1225700527"/>
      </c:barChart>
      <c:catAx>
        <c:axId val="123307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Age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00527"/>
        <c:crosses val="autoZero"/>
        <c:auto val="1"/>
        <c:lblAlgn val="ctr"/>
        <c:lblOffset val="100"/>
        <c:noMultiLvlLbl val="0"/>
      </c:catAx>
      <c:valAx>
        <c:axId val="12257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Count of Establishment_ID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Growth Performance: Exporters vs Non-Exporters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05340194838424"/>
          <c:y val="0.12780613721045495"/>
          <c:w val="0.55742991792155183"/>
          <c:h val="0.6568275828358801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EDA_Performance!$G$60:$G$61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EDA_Performance!$F$62:$F$64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EDA_Performance!$G$62:$G$64</c:f>
              <c:numCache>
                <c:formatCode>0.0%</c:formatCode>
                <c:ptCount val="2"/>
                <c:pt idx="0">
                  <c:v>0.21965317919075145</c:v>
                </c:pt>
                <c:pt idx="1">
                  <c:v>0.20454545454545456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7-467E-A19A-9C55D8CE5C80}"/>
            </c:ext>
          </c:extLst>
        </c:ser>
        <c:ser>
          <c:idx val="1"/>
          <c:order val="1"/>
          <c:tx>
            <c:strRef>
              <c:f>EDA_Performance!$H$60:$H$61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EDA_Performance!$F$62:$F$64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EDA_Performance!$H$62:$H$64</c:f>
              <c:numCache>
                <c:formatCode>0.0%</c:formatCode>
                <c:ptCount val="2"/>
                <c:pt idx="0">
                  <c:v>0.2138728323699422</c:v>
                </c:pt>
                <c:pt idx="1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7-467E-A19A-9C55D8CE5C80}"/>
            </c:ext>
          </c:extLst>
        </c:ser>
        <c:ser>
          <c:idx val="2"/>
          <c:order val="2"/>
          <c:tx>
            <c:strRef>
              <c:f>EDA_Performance!$I$60:$I$61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EDA_Performance!$F$62:$F$64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EDA_Performance!$I$62:$I$64</c:f>
              <c:numCache>
                <c:formatCode>0.0%</c:formatCode>
                <c:ptCount val="2"/>
                <c:pt idx="0">
                  <c:v>0.41618497109826591</c:v>
                </c:pt>
                <c:pt idx="1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E7-467E-A19A-9C55D8CE5C80}"/>
            </c:ext>
          </c:extLst>
        </c:ser>
        <c:ser>
          <c:idx val="3"/>
          <c:order val="3"/>
          <c:tx>
            <c:strRef>
              <c:f>EDA_Performance!$J$60:$J$61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EDA_Performance!$F$62:$F$64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EDA_Performance!$J$62:$J$64</c:f>
              <c:numCache>
                <c:formatCode>0.0%</c:formatCode>
                <c:ptCount val="2"/>
                <c:pt idx="0">
                  <c:v>0.15028901734104047</c:v>
                </c:pt>
                <c:pt idx="1">
                  <c:v>0.11363636363636363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E7-467E-A19A-9C55D8CE5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482432"/>
        <c:axId val="1091398224"/>
      </c:barChart>
      <c:catAx>
        <c:axId val="182848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Direct Export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98224"/>
        <c:crosses val="autoZero"/>
        <c:auto val="1"/>
        <c:lblAlgn val="ctr"/>
        <c:lblOffset val="100"/>
        <c:noMultiLvlLbl val="0"/>
      </c:catAx>
      <c:valAx>
        <c:axId val="10913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48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  <a:latin typeface="+mn-lt"/>
              </a:rPr>
              <a:t>Growth Performance by Product Innovation</a:t>
            </a:r>
          </a:p>
        </c:rich>
      </c:tx>
      <c:layout>
        <c:manualLayout>
          <c:xMode val="edge"/>
          <c:yMode val="edge"/>
          <c:x val="0.22204882114753532"/>
          <c:y val="1.8067091504128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16182432208141"/>
          <c:y val="0.11441981518930257"/>
          <c:w val="0.58534277623187403"/>
          <c:h val="0.7236944214654118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EDA_Performance!$G$79:$G$80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EDA_Performance!$F$81:$F$83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EDA_Performance!$G$81:$G$83</c:f>
              <c:numCache>
                <c:formatCode>0.0%</c:formatCode>
                <c:ptCount val="2"/>
                <c:pt idx="0">
                  <c:v>0.23809523809523808</c:v>
                </c:pt>
                <c:pt idx="1">
                  <c:v>0.17142857142857143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6-417A-998F-5C6DEBAD6525}"/>
            </c:ext>
          </c:extLst>
        </c:ser>
        <c:ser>
          <c:idx val="1"/>
          <c:order val="1"/>
          <c:tx>
            <c:strRef>
              <c:f>EDA_Performance!$H$79:$H$80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EDA_Performance!$F$81:$F$83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EDA_Performance!$H$81:$H$83</c:f>
              <c:numCache>
                <c:formatCode>0.0%</c:formatCode>
                <c:ptCount val="2"/>
                <c:pt idx="0">
                  <c:v>0.21768707482993196</c:v>
                </c:pt>
                <c:pt idx="1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6-417A-998F-5C6DEBAD6525}"/>
            </c:ext>
          </c:extLst>
        </c:ser>
        <c:ser>
          <c:idx val="2"/>
          <c:order val="2"/>
          <c:tx>
            <c:strRef>
              <c:f>EDA_Performance!$I$79:$I$80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EDA_Performance!$F$81:$F$83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EDA_Performance!$I$81:$I$83</c:f>
              <c:numCache>
                <c:formatCode>0.0%</c:formatCode>
                <c:ptCount val="2"/>
                <c:pt idx="0">
                  <c:v>0.40816326530612246</c:v>
                </c:pt>
                <c:pt idx="1">
                  <c:v>0.45714285714285713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A6-417A-998F-5C6DEBAD6525}"/>
            </c:ext>
          </c:extLst>
        </c:ser>
        <c:ser>
          <c:idx val="3"/>
          <c:order val="3"/>
          <c:tx>
            <c:strRef>
              <c:f>EDA_Performance!$J$79:$J$80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EDA_Performance!$F$81:$F$83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EDA_Performance!$J$81:$J$83</c:f>
              <c:numCache>
                <c:formatCode>0.0%</c:formatCode>
                <c:ptCount val="2"/>
                <c:pt idx="0">
                  <c:v>0.1360544217687075</c:v>
                </c:pt>
                <c:pt idx="1">
                  <c:v>0.15714285714285714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A6-417A-998F-5C6DEBAD6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6655552"/>
        <c:axId val="1091376144"/>
      </c:barChart>
      <c:catAx>
        <c:axId val="11966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76144"/>
        <c:crosses val="autoZero"/>
        <c:auto val="1"/>
        <c:lblAlgn val="ctr"/>
        <c:lblOffset val="100"/>
        <c:noMultiLvlLbl val="0"/>
      </c:catAx>
      <c:valAx>
        <c:axId val="10913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[Uganda_Manufacturing_2025_Working_Dataset.xlsx]EDA_Performance!PivotTable6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100">
                <a:latin typeface="+mn-lt"/>
              </a:rPr>
              <a:t>Growth Performance by Process Innovation</a:t>
            </a:r>
          </a:p>
        </c:rich>
      </c:tx>
      <c:layout>
        <c:manualLayout>
          <c:xMode val="edge"/>
          <c:yMode val="edge"/>
          <c:x val="0.22110371747203933"/>
          <c:y val="1.3889471161119687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12270341207347"/>
          <c:y val="0.10166072141402836"/>
          <c:w val="0.60166203752187952"/>
          <c:h val="0.7183864152951877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EDA_Performance!$G$94:$G$95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EDA_Performance!$F$96:$F$98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EDA_Performance!$G$96:$G$98</c:f>
              <c:numCache>
                <c:formatCode>0.0%</c:formatCode>
                <c:ptCount val="2"/>
                <c:pt idx="0">
                  <c:v>0.2138728323699422</c:v>
                </c:pt>
                <c:pt idx="1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70-4EBE-B022-C442D37268DA}"/>
            </c:ext>
          </c:extLst>
        </c:ser>
        <c:ser>
          <c:idx val="1"/>
          <c:order val="1"/>
          <c:tx>
            <c:strRef>
              <c:f>EDA_Performance!$H$94:$H$95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EDA_Performance!$F$96:$F$98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EDA_Performance!$H$96:$H$98</c:f>
              <c:numCache>
                <c:formatCode>0.0%</c:formatCode>
                <c:ptCount val="2"/>
                <c:pt idx="0">
                  <c:v>0.2138728323699422</c:v>
                </c:pt>
                <c:pt idx="1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70-4EBE-B022-C442D37268DA}"/>
            </c:ext>
          </c:extLst>
        </c:ser>
        <c:ser>
          <c:idx val="2"/>
          <c:order val="2"/>
          <c:tx>
            <c:strRef>
              <c:f>EDA_Performance!$I$94:$I$95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EDA_Performance!$F$96:$F$98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EDA_Performance!$I$96:$I$98</c:f>
              <c:numCache>
                <c:formatCode>0.0%</c:formatCode>
                <c:ptCount val="2"/>
                <c:pt idx="0">
                  <c:v>0.43930635838150289</c:v>
                </c:pt>
                <c:pt idx="1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70-4EBE-B022-C442D37268DA}"/>
            </c:ext>
          </c:extLst>
        </c:ser>
        <c:ser>
          <c:idx val="3"/>
          <c:order val="3"/>
          <c:tx>
            <c:strRef>
              <c:f>EDA_Performance!$J$94:$J$95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EDA_Performance!$F$96:$F$98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EDA_Performance!$J$96:$J$98</c:f>
              <c:numCache>
                <c:formatCode>0.0%</c:formatCode>
                <c:ptCount val="2"/>
                <c:pt idx="0">
                  <c:v>0.13294797687861271</c:v>
                </c:pt>
                <c:pt idx="1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70-4EBE-B022-C442D3726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6655552"/>
        <c:axId val="1091376144"/>
      </c:barChart>
      <c:catAx>
        <c:axId val="11966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76144"/>
        <c:crosses val="autoZero"/>
        <c:auto val="1"/>
        <c:lblAlgn val="ctr"/>
        <c:lblOffset val="100"/>
        <c:noMultiLvlLbl val="0"/>
      </c:catAx>
      <c:valAx>
        <c:axId val="10913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65555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ysClr val="windowText" lastClr="000000"/>
                </a:solidFill>
                <a:latin typeface="+mn-lt"/>
              </a:rPr>
              <a:t>Finance &amp; Investment Patterns by Growth Group</a:t>
            </a:r>
            <a:endParaRPr lang="en-US" sz="1100" b="1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EDA_Finance!$B$9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EDA_Finance!$A$10:$A$11</c:f>
              <c:strCache>
                <c:ptCount val="2"/>
                <c:pt idx="0">
                  <c:v>Has Financial Institution Loan</c:v>
                </c:pt>
                <c:pt idx="1">
                  <c:v>Purchased Fixed Assets</c:v>
                </c:pt>
              </c:strCache>
            </c:strRef>
          </c:cat>
          <c:val>
            <c:numRef>
              <c:f>EDA_Finance!$B$10:$B$11</c:f>
              <c:numCache>
                <c:formatCode>0.0%</c:formatCode>
                <c:ptCount val="2"/>
                <c:pt idx="0">
                  <c:v>0.27659574468085107</c:v>
                </c:pt>
                <c:pt idx="1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5-4085-B5C6-75EE9935AED8}"/>
            </c:ext>
          </c:extLst>
        </c:ser>
        <c:ser>
          <c:idx val="1"/>
          <c:order val="1"/>
          <c:tx>
            <c:strRef>
              <c:f>EDA_Finance!$C$9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EDA_Finance!$A$10:$A$11</c:f>
              <c:strCache>
                <c:ptCount val="2"/>
                <c:pt idx="0">
                  <c:v>Has Financial Institution Loan</c:v>
                </c:pt>
                <c:pt idx="1">
                  <c:v>Purchased Fixed Assets</c:v>
                </c:pt>
              </c:strCache>
            </c:strRef>
          </c:cat>
          <c:val>
            <c:numRef>
              <c:f>EDA_Finance!$C$10:$C$11</c:f>
              <c:numCache>
                <c:formatCode>0.0%</c:formatCode>
                <c:ptCount val="2"/>
                <c:pt idx="0">
                  <c:v>0.42553191489361702</c:v>
                </c:pt>
                <c:pt idx="1">
                  <c:v>0.23404255319148937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5-4085-B5C6-75EE9935A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543536"/>
        <c:axId val="57206000"/>
      </c:barChart>
      <c:catAx>
        <c:axId val="17025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06000"/>
        <c:crosses val="autoZero"/>
        <c:auto val="1"/>
        <c:lblAlgn val="ctr"/>
        <c:lblOffset val="100"/>
        <c:noMultiLvlLbl val="0"/>
      </c:catAx>
      <c:valAx>
        <c:axId val="57206000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54353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ysClr val="windowText" lastClr="000000"/>
                </a:solidFill>
                <a:latin typeface="+mn-lt"/>
              </a:rPr>
              <a:t>Equipment Investment Intensity Among Investors</a:t>
            </a:r>
            <a:endParaRPr lang="en-US" sz="1100" b="1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Median Investment %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EDA_Finance!$B$21:$C$21</c:f>
              <c:strCache>
                <c:ptCount val="2"/>
                <c:pt idx="0">
                  <c:v>High Growth</c:v>
                </c:pt>
                <c:pt idx="1">
                  <c:v>Low Growth</c:v>
                </c:pt>
              </c:strCache>
            </c:strRef>
          </c:cat>
          <c:val>
            <c:numRef>
              <c:f>EDA_Finance!$B$24:$C$24</c:f>
              <c:numCache>
                <c:formatCode>0.0%</c:formatCode>
                <c:ptCount val="2"/>
                <c:pt idx="0">
                  <c:v>3.4983766233766228E-2</c:v>
                </c:pt>
                <c:pt idx="1">
                  <c:v>2.1176470588235293E-2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A-447B-838C-1A86CD73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41664"/>
        <c:axId val="57134000"/>
      </c:barChart>
      <c:catAx>
        <c:axId val="1965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4000"/>
        <c:crosses val="autoZero"/>
        <c:auto val="1"/>
        <c:lblAlgn val="ctr"/>
        <c:lblOffset val="100"/>
        <c:noMultiLvlLbl val="0"/>
      </c:catAx>
      <c:valAx>
        <c:axId val="571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>
                <a:solidFill>
                  <a:sysClr val="windowText" lastClr="000000"/>
                </a:solidFill>
                <a:latin typeface="+mn-lt"/>
              </a:rPr>
              <a:t>Average Working Capital Financing Mix by Growth Group</a:t>
            </a:r>
            <a:endParaRPr lang="en-US" sz="1050" b="1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High Growth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EDA_Finance!$A$40:$A$42</c:f>
              <c:strCache>
                <c:ptCount val="3"/>
                <c:pt idx="0">
                  <c:v>Average Internal Financing %</c:v>
                </c:pt>
                <c:pt idx="1">
                  <c:v>Average Bank Financing %</c:v>
                </c:pt>
                <c:pt idx="2">
                  <c:v>Average Supplier Credit %</c:v>
                </c:pt>
              </c:strCache>
            </c:strRef>
          </c:cat>
          <c:val>
            <c:numRef>
              <c:f>EDA_Finance!$B$40:$B$42</c:f>
              <c:numCache>
                <c:formatCode>0.0"%"</c:formatCode>
                <c:ptCount val="3"/>
                <c:pt idx="0">
                  <c:v>58.957446808510639</c:v>
                </c:pt>
                <c:pt idx="1">
                  <c:v>7.0212765957446805</c:v>
                </c:pt>
                <c:pt idx="2">
                  <c:v>11.468085106382979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D-4881-884F-629B04FED4C3}"/>
            </c:ext>
          </c:extLst>
        </c:ser>
        <c:ser>
          <c:idx val="1"/>
          <c:order val="1"/>
          <c:tx>
            <c:v>Low Growth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EDA_Finance!$A$40:$A$42</c:f>
              <c:strCache>
                <c:ptCount val="3"/>
                <c:pt idx="0">
                  <c:v>Average Internal Financing %</c:v>
                </c:pt>
                <c:pt idx="1">
                  <c:v>Average Bank Financing %</c:v>
                </c:pt>
                <c:pt idx="2">
                  <c:v>Average Supplier Credit %</c:v>
                </c:pt>
              </c:strCache>
            </c:strRef>
          </c:cat>
          <c:val>
            <c:numRef>
              <c:f>EDA_Finance!$C$40:$C$42</c:f>
              <c:numCache>
                <c:formatCode>0.0"%"</c:formatCode>
                <c:ptCount val="3"/>
                <c:pt idx="0">
                  <c:v>70.282608695652172</c:v>
                </c:pt>
                <c:pt idx="1">
                  <c:v>10.586956521739131</c:v>
                </c:pt>
                <c:pt idx="2">
                  <c:v>6.4565217391304346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D-4881-884F-629B04FE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51504"/>
        <c:axId val="5713736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EDA_Finance!$A$40:$A$42</c15:sqref>
                        </c15:formulaRef>
                      </c:ext>
                    </c:extLst>
                    <c:strCache>
                      <c:ptCount val="3"/>
                      <c:pt idx="0">
                        <c:v>Average Internal Financing %</c:v>
                      </c:pt>
                      <c:pt idx="1">
                        <c:v>Average Bank Financing %</c:v>
                      </c:pt>
                      <c:pt idx="2">
                        <c:v>Average Supplier Credit %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EDA_Finance!$B$39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29D-4881-884F-629B04FED4C3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EDA_Finance!$A$40:$A$42</c15:sqref>
                        </c15:formulaRef>
                      </c:ext>
                    </c:extLst>
                    <c:strCache>
                      <c:ptCount val="3"/>
                      <c:pt idx="0">
                        <c:v>Average Internal Financing %</c:v>
                      </c:pt>
                      <c:pt idx="1">
                        <c:v>Average Bank Financing %</c:v>
                      </c:pt>
                      <c:pt idx="2">
                        <c:v>Average Supplier Credit %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EDA_Finance!$C$39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9D-4881-884F-629B04FED4C3}"/>
                  </c:ext>
                </c:extLst>
              </c15:ser>
            </c15:filteredBarSeries>
          </c:ext>
        </c:extLst>
      </c:barChart>
      <c:catAx>
        <c:axId val="2000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7360"/>
        <c:crosses val="autoZero"/>
        <c:auto val="1"/>
        <c:lblAlgn val="ctr"/>
        <c:lblOffset val="100"/>
        <c:noMultiLvlLbl val="0"/>
      </c:catAx>
      <c:valAx>
        <c:axId val="571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ysClr val="windowText" lastClr="000000"/>
                </a:solidFill>
              </a:rPr>
              <a:t>Major/Very Severe Constraints by Growth Group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EDA_Constraints!$B$11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EDA_Constraints!$A$12:$A$15</c:f>
              <c:strCache>
                <c:ptCount val="4"/>
                <c:pt idx="0">
                  <c:v>Electricity</c:v>
                </c:pt>
                <c:pt idx="1">
                  <c:v>Access to Finance</c:v>
                </c:pt>
                <c:pt idx="2">
                  <c:v>Workforce Skills</c:v>
                </c:pt>
                <c:pt idx="3">
                  <c:v>Informal Competition</c:v>
                </c:pt>
              </c:strCache>
            </c:strRef>
          </c:cat>
          <c:val>
            <c:numRef>
              <c:f>EDA_Constraints!$B$12:$B$15</c:f>
              <c:numCache>
                <c:formatCode>0.0%</c:formatCode>
                <c:ptCount val="4"/>
                <c:pt idx="0">
                  <c:v>0.27659574468085107</c:v>
                </c:pt>
                <c:pt idx="1">
                  <c:v>0.34042553191489361</c:v>
                </c:pt>
                <c:pt idx="2">
                  <c:v>4.2553191489361701E-2</c:v>
                </c:pt>
                <c:pt idx="3">
                  <c:v>0.2978723404255319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3-4564-9A0B-4C57BF6C5C5D}"/>
            </c:ext>
          </c:extLst>
        </c:ser>
        <c:ser>
          <c:idx val="1"/>
          <c:order val="1"/>
          <c:tx>
            <c:strRef>
              <c:f>EDA_Constraints!$C$11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EDA_Constraints!$A$12:$A$15</c:f>
              <c:strCache>
                <c:ptCount val="4"/>
                <c:pt idx="0">
                  <c:v>Electricity</c:v>
                </c:pt>
                <c:pt idx="1">
                  <c:v>Access to Finance</c:v>
                </c:pt>
                <c:pt idx="2">
                  <c:v>Workforce Skills</c:v>
                </c:pt>
                <c:pt idx="3">
                  <c:v>Informal Competition</c:v>
                </c:pt>
              </c:strCache>
            </c:strRef>
          </c:cat>
          <c:val>
            <c:numRef>
              <c:f>EDA_Constraints!$C$12:$C$15</c:f>
              <c:numCache>
                <c:formatCode>0.0%</c:formatCode>
                <c:ptCount val="4"/>
                <c:pt idx="0">
                  <c:v>0.36170212765957449</c:v>
                </c:pt>
                <c:pt idx="1">
                  <c:v>0.34782608695652173</c:v>
                </c:pt>
                <c:pt idx="2">
                  <c:v>8.5106382978723402E-2</c:v>
                </c:pt>
                <c:pt idx="3">
                  <c:v>0.23255813953488372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3-4564-9A0B-4C57BF6C5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983792"/>
        <c:axId val="983426896"/>
      </c:barChart>
      <c:catAx>
        <c:axId val="98198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26896"/>
        <c:crosses val="autoZero"/>
        <c:auto val="1"/>
        <c:lblAlgn val="ctr"/>
        <c:lblOffset val="100"/>
        <c:noMultiLvlLbl val="0"/>
      </c:catAx>
      <c:valAx>
        <c:axId val="9834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8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[Uganda_Manufacturing_2025_Working_Dataset.xlsx]EDA_Constraints!PivotTable1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  <a:latin typeface="+mn-lt"/>
              </a:rPr>
              <a:t>Biggest Obstacles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EDA_Constraints!$B$26:$B$27</c:f>
              <c:strCache>
                <c:ptCount val="1"/>
                <c:pt idx="0">
                  <c:v>High 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EDA_Constraints!$A$28:$A$37</c:f>
              <c:strCache>
                <c:ptCount val="9"/>
                <c:pt idx="0">
                  <c:v>Access to finance</c:v>
                </c:pt>
                <c:pt idx="1">
                  <c:v>Access to land</c:v>
                </c:pt>
                <c:pt idx="2">
                  <c:v>Corruption</c:v>
                </c:pt>
                <c:pt idx="3">
                  <c:v>Crime, theft and disorder</c:v>
                </c:pt>
                <c:pt idx="4">
                  <c:v>Customs and trade regulations</c:v>
                </c:pt>
                <c:pt idx="5">
                  <c:v>Electricity</c:v>
                </c:pt>
                <c:pt idx="6">
                  <c:v>Practices of competitors in the informal sector</c:v>
                </c:pt>
                <c:pt idx="7">
                  <c:v>Tax administration</c:v>
                </c:pt>
                <c:pt idx="8">
                  <c:v>Tax rates</c:v>
                </c:pt>
              </c:strCache>
            </c:strRef>
          </c:cat>
          <c:val>
            <c:numRef>
              <c:f>EDA_Constraints!$B$28:$B$37</c:f>
              <c:numCache>
                <c:formatCode>0.00%</c:formatCode>
                <c:ptCount val="9"/>
                <c:pt idx="0">
                  <c:v>0.25531914893617019</c:v>
                </c:pt>
                <c:pt idx="1">
                  <c:v>2.1276595744680851E-2</c:v>
                </c:pt>
                <c:pt idx="2">
                  <c:v>6.3829787234042548E-2</c:v>
                </c:pt>
                <c:pt idx="3">
                  <c:v>6.3829787234042548E-2</c:v>
                </c:pt>
                <c:pt idx="4">
                  <c:v>2.1276595744680851E-2</c:v>
                </c:pt>
                <c:pt idx="5">
                  <c:v>0.1276595744680851</c:v>
                </c:pt>
                <c:pt idx="6">
                  <c:v>6.3829787234042548E-2</c:v>
                </c:pt>
                <c:pt idx="7">
                  <c:v>6.3829787234042548E-2</c:v>
                </c:pt>
                <c:pt idx="8">
                  <c:v>0.31914893617021278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D-496C-AC93-71AE3DC6993E}"/>
            </c:ext>
          </c:extLst>
        </c:ser>
        <c:ser>
          <c:idx val="1"/>
          <c:order val="1"/>
          <c:tx>
            <c:strRef>
              <c:f>EDA_Constraints!$C$26:$C$27</c:f>
              <c:strCache>
                <c:ptCount val="1"/>
                <c:pt idx="0">
                  <c:v>Low Growth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EDA_Constraints!$A$28:$A$37</c:f>
              <c:strCache>
                <c:ptCount val="9"/>
                <c:pt idx="0">
                  <c:v>Access to finance</c:v>
                </c:pt>
                <c:pt idx="1">
                  <c:v>Access to land</c:v>
                </c:pt>
                <c:pt idx="2">
                  <c:v>Corruption</c:v>
                </c:pt>
                <c:pt idx="3">
                  <c:v>Crime, theft and disorder</c:v>
                </c:pt>
                <c:pt idx="4">
                  <c:v>Customs and trade regulations</c:v>
                </c:pt>
                <c:pt idx="5">
                  <c:v>Electricity</c:v>
                </c:pt>
                <c:pt idx="6">
                  <c:v>Practices of competitors in the informal sector</c:v>
                </c:pt>
                <c:pt idx="7">
                  <c:v>Tax administration</c:v>
                </c:pt>
                <c:pt idx="8">
                  <c:v>Tax rates</c:v>
                </c:pt>
              </c:strCache>
            </c:strRef>
          </c:cat>
          <c:val>
            <c:numRef>
              <c:f>EDA_Constraints!$C$28:$C$37</c:f>
              <c:numCache>
                <c:formatCode>0.00%</c:formatCode>
                <c:ptCount val="9"/>
                <c:pt idx="0">
                  <c:v>0.1276595744680851</c:v>
                </c:pt>
                <c:pt idx="1">
                  <c:v>8.5106382978723402E-2</c:v>
                </c:pt>
                <c:pt idx="2">
                  <c:v>4.2553191489361701E-2</c:v>
                </c:pt>
                <c:pt idx="3">
                  <c:v>0</c:v>
                </c:pt>
                <c:pt idx="4">
                  <c:v>4.2553191489361701E-2</c:v>
                </c:pt>
                <c:pt idx="5">
                  <c:v>0.27659574468085107</c:v>
                </c:pt>
                <c:pt idx="6">
                  <c:v>0.10638297872340426</c:v>
                </c:pt>
                <c:pt idx="7">
                  <c:v>6.3829787234042548E-2</c:v>
                </c:pt>
                <c:pt idx="8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D-496C-AC93-71AE3DC69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683680"/>
        <c:axId val="983374576"/>
      </c:barChart>
      <c:catAx>
        <c:axId val="9876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4576"/>
        <c:crosses val="autoZero"/>
        <c:auto val="1"/>
        <c:lblAlgn val="ctr"/>
        <c:lblOffset val="100"/>
        <c:noMultiLvlLbl val="0"/>
      </c:catAx>
      <c:valAx>
        <c:axId val="9833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6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651510</xdr:colOff>
      <xdr:row>3</xdr:row>
      <xdr:rowOff>30480</xdr:rowOff>
    </xdr:from>
    <xdr:to>
      <xdr:col>12</xdr:col>
      <xdr:colOff>15240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11392-C279-6AD5-D2EE-4C79542EC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17</xdr:row>
      <xdr:rowOff>7620</xdr:rowOff>
    </xdr:from>
    <xdr:to>
      <xdr:col>12</xdr:col>
      <xdr:colOff>0</xdr:colOff>
      <xdr:row>29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6F352-2C3D-5683-EB8B-9E72B5AD2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</xdr:colOff>
      <xdr:row>32</xdr:row>
      <xdr:rowOff>11430</xdr:rowOff>
    </xdr:from>
    <xdr:to>
      <xdr:col>10</xdr:col>
      <xdr:colOff>662940</xdr:colOff>
      <xdr:row>47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49D936-2E67-B0B2-15A4-0B4159904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</xdr:colOff>
      <xdr:row>51</xdr:row>
      <xdr:rowOff>11430</xdr:rowOff>
    </xdr:from>
    <xdr:to>
      <xdr:col>12</xdr:col>
      <xdr:colOff>15240</xdr:colOff>
      <xdr:row>65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DB20B5-79C4-F4B8-DF85-23BB8BE65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6</xdr:row>
      <xdr:rowOff>163830</xdr:rowOff>
    </xdr:from>
    <xdr:to>
      <xdr:col>19</xdr:col>
      <xdr:colOff>647700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84E32-51CB-7C43-6E8C-C80F32714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552450</xdr:colOff>
      <xdr:row>22</xdr:row>
      <xdr:rowOff>11430</xdr:rowOff>
    </xdr:from>
    <xdr:to>
      <xdr:col>19</xdr:col>
      <xdr:colOff>655320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91AE1C-B5E2-8C62-F5FE-9AB64FF92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582930</xdr:colOff>
      <xdr:row>37</xdr:row>
      <xdr:rowOff>19050</xdr:rowOff>
    </xdr:from>
    <xdr:to>
      <xdr:col>19</xdr:col>
      <xdr:colOff>647700</xdr:colOff>
      <xdr:row>51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181738-3E93-F8C4-ED39-38AD4CFB0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26670</xdr:colOff>
      <xdr:row>56</xdr:row>
      <xdr:rowOff>19050</xdr:rowOff>
    </xdr:from>
    <xdr:to>
      <xdr:col>20</xdr:col>
      <xdr:colOff>0</xdr:colOff>
      <xdr:row>71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1FFDBC-5E1D-27A2-A03C-0ADFC1743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3733</xdr:colOff>
      <xdr:row>74</xdr:row>
      <xdr:rowOff>157596</xdr:rowOff>
    </xdr:from>
    <xdr:to>
      <xdr:col>19</xdr:col>
      <xdr:colOff>655243</xdr:colOff>
      <xdr:row>90</xdr:row>
      <xdr:rowOff>121459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6AD03A-3F34-FF49-F0FB-BD415C24A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11507</xdr:colOff>
      <xdr:row>92</xdr:row>
      <xdr:rowOff>180686</xdr:rowOff>
    </xdr:from>
    <xdr:to>
      <xdr:col>19</xdr:col>
      <xdr:colOff>663017</xdr:colOff>
      <xdr:row>108</xdr:row>
      <xdr:rowOff>75893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AF83BA-989E-8B03-9F7F-BD9B9D5A3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0</xdr:rowOff>
    </xdr:from>
    <xdr:to>
      <xdr:col>11</xdr:col>
      <xdr:colOff>647700</xdr:colOff>
      <xdr:row>16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EBC07-3CA8-1E90-13B1-9C6BDA427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18</xdr:row>
      <xdr:rowOff>167640</xdr:rowOff>
    </xdr:from>
    <xdr:to>
      <xdr:col>11</xdr:col>
      <xdr:colOff>662940</xdr:colOff>
      <xdr:row>34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B214A9-240B-4A40-51CB-B2184C148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</xdr:colOff>
      <xdr:row>37</xdr:row>
      <xdr:rowOff>15240</xdr:rowOff>
    </xdr:from>
    <xdr:to>
      <xdr:col>11</xdr:col>
      <xdr:colOff>662940</xdr:colOff>
      <xdr:row>52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0CF701-09D5-2677-38D2-3C0FEFA33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</xdr:colOff>
      <xdr:row>2</xdr:row>
      <xdr:rowOff>167640</xdr:rowOff>
    </xdr:from>
    <xdr:to>
      <xdr:col>12</xdr:col>
      <xdr:colOff>662940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A9D1A-BE2F-79C0-80F8-AAEDDC10C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</xdr:colOff>
      <xdr:row>23</xdr:row>
      <xdr:rowOff>15240</xdr:rowOff>
    </xdr:from>
    <xdr:to>
      <xdr:col>13</xdr:col>
      <xdr:colOff>662940</xdr:colOff>
      <xdr:row>41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70DDD8-8BAA-F767-7EA7-AEE155B64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Mwesigwa" refreshedDate="46267.813270601851" createdVersion="8" refreshedVersion="8" minRefreshableVersion="3" recordCount="217" xr:uid="{1E5ACECE-357F-4F02-A3D7-E8EA138A1571}">
  <cacheSource type="worksheet">
    <worksheetSource name="ManufacturingCleanTable"/>
  </cacheSource>
  <cacheFields count="52">
    <cacheField name="Establishment_ID" numFmtId="0">
      <sharedItems containsSemiMixedTypes="0" containsString="0" containsNumber="1" containsInteger="1" minValue="1614120" maxValue="1614723"/>
    </cacheField>
    <cacheField name="Region" numFmtId="0">
      <sharedItems count="4">
        <s v="Eastern"/>
        <s v="Central"/>
        <s v="Western"/>
        <s v="Northern"/>
      </sharedItems>
    </cacheField>
    <cacheField name="Size_Category" numFmtId="0">
      <sharedItems count="3">
        <s v="Large"/>
        <s v="Small"/>
        <s v="Medium"/>
      </sharedItems>
    </cacheField>
    <cacheField name="Screener_Employees" numFmtId="1">
      <sharedItems containsSemiMixedTypes="0" containsString="0" containsNumber="1" containsInteger="1" minValue="5" maxValue="3000"/>
    </cacheField>
    <cacheField name="ISIC_Rev4_Code" numFmtId="1">
      <sharedItems containsSemiMixedTypes="0" containsString="0" containsNumber="1" containsInteger="1" minValue="1020" maxValue="3312"/>
    </cacheField>
    <cacheField name="ISIC_Division" numFmtId="1">
      <sharedItems containsSemiMixedTypes="0" containsString="0" containsNumber="1" containsInteger="1" minValue="10" maxValue="33"/>
    </cacheField>
    <cacheField name="Manufacturing_Subsector" numFmtId="0">
      <sharedItems count="21">
        <s v="Manufacture of food products"/>
        <s v="Manufacture of wearing apparel"/>
        <s v="Manufacture of basic pharmaceutical products"/>
        <s v="Manufacture of furniture"/>
        <s v="Printing and reproduction of recorded media"/>
        <s v="Manufacture of basic metals"/>
        <s v="Manufacture of fabricated metal products"/>
        <s v="Manufacture of chemicals and chemical products"/>
        <s v="Manufacture of other non-metallic mineral products"/>
        <s v="Manufacture of machinery and equipment n.e.c."/>
        <s v="Manufacture of wood and products of wood/cork"/>
        <s v="Manufacture of beverages"/>
        <s v="Repair and installation of machinery and equipment"/>
        <s v="Manufacture of leather and related products"/>
        <s v="Other manufacturing"/>
        <s v="Manufacture of electrical equipment"/>
        <s v="Manufacture of rubber and plastics products"/>
        <s v="Manufacture of textiles"/>
        <s v="Manufacture of coke and refined petroleum products"/>
        <s v="Manufacture of tobacco products"/>
        <s v="Manufacture of paper and paper products"/>
      </sharedItems>
    </cacheField>
    <cacheField name="Year_Started" numFmtId="1">
      <sharedItems containsString="0" containsBlank="1" containsNumber="1" containsInteger="1" minValue="1886" maxValue="2023"/>
    </cacheField>
    <cacheField name="Manager_Experience_Years" numFmtId="1">
      <sharedItems containsString="0" containsBlank="1" containsNumber="1" containsInteger="1" minValue="1" maxValue="60"/>
    </cacheField>
    <cacheField name="Survey_Weight_Median" numFmtId="164">
      <sharedItems containsSemiMixedTypes="0" containsString="0" containsNumber="1" minValue="1" maxValue="585.955322265625"/>
    </cacheField>
    <cacheField name="Annual_Sales_2024_UGX" numFmtId="3">
      <sharedItems containsString="0" containsBlank="1" containsNumber="1" containsInteger="1" minValue="2000000" maxValue="6000000000000"/>
    </cacheField>
    <cacheField name="Annual_Sales_2022_UGX" numFmtId="3">
      <sharedItems containsString="0" containsBlank="1" containsNumber="1" containsInteger="1" minValue="2000000" maxValue="4000000000000"/>
    </cacheField>
    <cacheField name="Capacity_Utilization_Pct" numFmtId="165">
      <sharedItems containsString="0" containsBlank="1" containsNumber="1" containsInteger="1" minValue="1" maxValue="100"/>
    </cacheField>
    <cacheField name="Permanent_FT_Employees_2024" numFmtId="1">
      <sharedItems containsSemiMixedTypes="0" containsString="0" containsNumber="1" containsInteger="1" minValue="1" maxValue="2000"/>
    </cacheField>
    <cacheField name="Permanent_FT_Employees_2022" numFmtId="1">
      <sharedItems containsString="0" containsBlank="1" containsNumber="1" containsInteger="1" minValue="2" maxValue="1800"/>
    </cacheField>
    <cacheField name="Labor_Cost_2024_UGX" numFmtId="3">
      <sharedItems containsString="0" containsBlank="1" containsNumber="1" containsInteger="1" minValue="1000000" maxValue="1000000000000"/>
    </cacheField>
    <cacheField name="Raw_Materials_Cost_2024_UGX" numFmtId="3">
      <sharedItems containsString="0" containsBlank="1" containsNumber="1" containsInteger="1" minValue="0" maxValue="3000000000000"/>
    </cacheField>
    <cacheField name="Machinery_Replacement_Value_UGX" numFmtId="3">
      <sharedItems containsString="0" containsBlank="1" containsNumber="1" containsInteger="1" minValue="400000" maxValue="1000000000000"/>
    </cacheField>
    <cacheField name="Direct_Exports_Pct" numFmtId="165">
      <sharedItems containsSemiMixedTypes="0" containsString="0" containsNumber="1" containsInteger="1" minValue="0" maxValue="100" count="21">
        <n v="25"/>
        <n v="0"/>
        <n v="1"/>
        <n v="35"/>
        <n v="10"/>
        <n v="30"/>
        <n v="20"/>
        <n v="75"/>
        <n v="15"/>
        <n v="80"/>
        <n v="100"/>
        <n v="90"/>
        <n v="5"/>
        <n v="99"/>
        <n v="50"/>
        <n v="40"/>
        <n v="13"/>
        <n v="96"/>
        <n v="32"/>
        <n v="89"/>
        <n v="60"/>
      </sharedItems>
    </cacheField>
    <cacheField name="Monitors_Performance_Indicators" numFmtId="0">
      <sharedItems/>
    </cacheField>
    <cacheField name="Introduced_New_Product_Service" numFmtId="0">
      <sharedItems count="2">
        <s v="No"/>
        <s v="Yes"/>
      </sharedItems>
    </cacheField>
    <cacheField name="Introduced_Improved_Process" numFmtId="0">
      <sharedItems count="2">
        <s v="No"/>
        <s v="Yes"/>
      </sharedItems>
    </cacheField>
    <cacheField name="Working_Capital_Internal_Pct" numFmtId="165">
      <sharedItems containsString="0" containsBlank="1" containsNumber="1" containsInteger="1" minValue="0" maxValue="100"/>
    </cacheField>
    <cacheField name="Working_Capital_Bank_Pct" numFmtId="165">
      <sharedItems containsString="0" containsBlank="1" containsNumber="1" containsInteger="1" minValue="0" maxValue="80"/>
    </cacheField>
    <cacheField name="Working_Capital_Supplier_Credit_Pct" numFmtId="165">
      <sharedItems containsString="0" containsBlank="1" containsNumber="1" containsInteger="1" minValue="0" maxValue="100"/>
    </cacheField>
    <cacheField name="Purchased_Fixed_Assets" numFmtId="0">
      <sharedItems/>
    </cacheField>
    <cacheField name="Equipment_Investment_Raw_UGX" numFmtId="3">
      <sharedItems containsString="0" containsBlank="1" containsNumber="1" containsInteger="1" minValue="0" maxValue="1000000000000"/>
    </cacheField>
    <cacheField name="Has_Financial_Institution_Loan" numFmtId="0">
      <sharedItems containsBlank="1"/>
    </cacheField>
    <cacheField name="Applied_For_Loan_2024" numFmtId="0">
      <sharedItems/>
    </cacheField>
    <cacheField name="Experienced_Power_Outages" numFmtId="0">
      <sharedItems containsBlank="1"/>
    </cacheField>
    <cacheField name="Power_Outages_Per_Month_Raw" numFmtId="165">
      <sharedItems containsString="0" containsBlank="1" containsNumber="1" containsInteger="1" minValue="0" maxValue="100"/>
    </cacheField>
    <cacheField name="Electricity_Obstacle" numFmtId="0">
      <sharedItems containsBlank="1"/>
    </cacheField>
    <cacheField name="Access_to_Finance_Obstacle" numFmtId="0">
      <sharedItems containsBlank="1"/>
    </cacheField>
    <cacheField name="Workforce_Skills_Obstacle" numFmtId="0">
      <sharedItems/>
    </cacheField>
    <cacheField name="Informal_Competition_Obstacle" numFmtId="0">
      <sharedItems containsBlank="1"/>
    </cacheField>
    <cacheField name="Biggest_Obstacle" numFmtId="0">
      <sharedItems containsBlank="1" count="15">
        <s v="Tax rates"/>
        <s v="Electricity"/>
        <s v="Corruption"/>
        <s v="Access to finance"/>
        <s v="Customs and trade regulations"/>
        <s v="Practices of competitors in the informal sector"/>
        <s v="Access to land"/>
        <s v="Business licensing and permits"/>
        <s v="Crime, theft and disorder"/>
        <s v="Tax administration"/>
        <s v="Inadequately educated workforce"/>
        <s v="Courts"/>
        <m/>
        <s v="Transport"/>
        <s v="Political instability"/>
      </sharedItems>
    </cacheField>
    <cacheField name="Figures_Response_Quality" numFmtId="0">
      <sharedItems/>
    </cacheField>
    <cacheField name="Establishment_Age_Years" numFmtId="1">
      <sharedItems containsMixedTypes="1" containsNumber="1" containsInteger="1" minValue="1" maxValue="138"/>
    </cacheField>
    <cacheField name="Equipment_Investment_UGX" numFmtId="3">
      <sharedItems containsSemiMixedTypes="0" containsString="0" containsNumber="1" containsInteger="1" minValue="0" maxValue="1000000000000"/>
    </cacheField>
    <cacheField name="Power_Outages_Per_Month" numFmtId="0">
      <sharedItems containsMixedTypes="1" containsNumber="1" containsInteger="1" minValue="0" maxValue="100"/>
    </cacheField>
    <cacheField name="Direct_Exporter" numFmtId="0">
      <sharedItems count="2">
        <s v="Yes"/>
        <s v="No"/>
      </sharedItems>
    </cacheField>
    <cacheField name="Sales_Growth_2022_2024_Pct" numFmtId="166">
      <sharedItems containsMixedTypes="1" containsNumber="1" minValue="-0.71846153846153848" maxValue="6"/>
    </cacheField>
    <cacheField name="Sales_CAGR_2022_2024_Pct" numFmtId="166">
      <sharedItems containsMixedTypes="1" containsNumber="1" minValue="-0.46939801966213746" maxValue="1.6457513110645907"/>
    </cacheField>
    <cacheField name="Employment_Growth_2022_2024_Pct" numFmtId="166">
      <sharedItems containsMixedTypes="1" containsNumber="1" minValue="-0.83333333333333337" maxValue="3"/>
    </cacheField>
    <cacheField name="Sales_per_Employee_UGX" numFmtId="3">
      <sharedItems containsMixedTypes="1" containsNumber="1" minValue="68702.290076335878" maxValue="4140000000"/>
    </cacheField>
    <cacheField name="Labor_Cost_Pct_of_Sales" numFmtId="166">
      <sharedItems containsMixedTypes="1" containsNumber="1" minValue="3.7766666666666665E-3" maxValue="0.8"/>
    </cacheField>
    <cacheField name="Raw_Materials_Cost_Pct_of_Sales" numFmtId="166">
      <sharedItems containsMixedTypes="1" containsNumber="1" minValue="0" maxValue="1.5"/>
    </cacheField>
    <cacheField name="Machinery_Value_per_Employee_UGX" numFmtId="3">
      <sharedItems containsMixedTypes="1" containsNumber="1" minValue="22222.222222222223" maxValue="5333333333.333333"/>
    </cacheField>
    <cacheField name="Equipment_Investment_Pct_of_Sales" numFmtId="166">
      <sharedItems containsMixedTypes="1" containsNumber="1" minValue="0" maxValue="1.5"/>
    </cacheField>
    <cacheField name="Sales_Outlier_Flag" numFmtId="166">
      <sharedItems/>
    </cacheField>
    <cacheField name="Firm_Age_Band" numFmtId="0">
      <sharedItems count="5">
        <s v="30+ years"/>
        <s v="10-19 years"/>
        <s v="&lt;10 years"/>
        <s v="20-29 years"/>
        <s v="Unknown"/>
      </sharedItems>
    </cacheField>
    <cacheField name="Performance_Group" numFmtId="0">
      <sharedItems count="4">
        <s v="Middle"/>
        <s v="Low Growth"/>
        <s v="High Growth"/>
        <s v="Mis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1614120"/>
    <x v="0"/>
    <x v="0"/>
    <n v="1000"/>
    <n v="1073"/>
    <n v="10"/>
    <x v="0"/>
    <n v="1986"/>
    <n v="24"/>
    <n v="1"/>
    <n v="1200000000"/>
    <n v="900000000"/>
    <n v="20"/>
    <n v="250"/>
    <n v="180"/>
    <n v="500000000"/>
    <n v="200000000"/>
    <n v="350000000"/>
    <x v="0"/>
    <s v="Yes"/>
    <x v="0"/>
    <x v="0"/>
    <n v="85"/>
    <n v="0"/>
    <n v="0"/>
    <s v="No"/>
    <m/>
    <s v="No"/>
    <s v="No"/>
    <s v="Yes"/>
    <n v="6"/>
    <s v="Moderate obstacle"/>
    <s v="Major obstacle"/>
    <s v="Moderate obstacle"/>
    <s v="Moderate obstacle"/>
    <x v="0"/>
    <s v="Are in some case taken from books and in some case estimates"/>
    <n v="38"/>
    <n v="0"/>
    <n v="6"/>
    <x v="0"/>
    <n v="0.33333333333333326"/>
    <n v="0.15470053837925146"/>
    <n v="0.38888888888888884"/>
    <n v="4800000"/>
    <n v="0.41666666666666669"/>
    <n v="0.16666666666666666"/>
    <n v="1400000"/>
    <n v="0"/>
    <s v="Normal"/>
    <x v="0"/>
    <x v="0"/>
  </r>
  <r>
    <n v="1614122"/>
    <x v="0"/>
    <x v="1"/>
    <n v="10"/>
    <n v="1410"/>
    <n v="14"/>
    <x v="1"/>
    <n v="1970"/>
    <n v="30"/>
    <n v="55.699169158935547"/>
    <n v="45000000"/>
    <n v="40000000"/>
    <n v="70"/>
    <n v="6"/>
    <n v="5"/>
    <n v="7200000"/>
    <n v="6000000"/>
    <n v="30000000"/>
    <x v="1"/>
    <s v="Not asked (survey skip: screener employment &lt;20)"/>
    <x v="0"/>
    <x v="0"/>
    <n v="100"/>
    <n v="0"/>
    <n v="0"/>
    <s v="No"/>
    <m/>
    <s v="No"/>
    <s v="No"/>
    <s v="Yes"/>
    <n v="2"/>
    <s v="Very severe obstacle"/>
    <s v="Moderate obstacle"/>
    <s v="No obstacle"/>
    <s v="No obstacle"/>
    <x v="1"/>
    <s v="Are taken directly from establishment records"/>
    <n v="54"/>
    <n v="0"/>
    <n v="2"/>
    <x v="1"/>
    <n v="0.125"/>
    <n v="6.0660171779821193E-2"/>
    <n v="0.19999999999999996"/>
    <n v="7500000"/>
    <n v="0.16"/>
    <n v="0.13333333333333333"/>
    <n v="5000000"/>
    <n v="0"/>
    <s v="Normal"/>
    <x v="0"/>
    <x v="0"/>
  </r>
  <r>
    <n v="1614124"/>
    <x v="1"/>
    <x v="2"/>
    <n v="100"/>
    <n v="1073"/>
    <n v="10"/>
    <x v="0"/>
    <n v="2007"/>
    <n v="20"/>
    <n v="24.842424392700195"/>
    <n v="3000000000"/>
    <n v="2000000000"/>
    <n v="70"/>
    <n v="50"/>
    <n v="50"/>
    <n v="700000000"/>
    <n v="400000000"/>
    <n v="5000000000"/>
    <x v="1"/>
    <s v="Yes"/>
    <x v="0"/>
    <x v="0"/>
    <n v="80"/>
    <n v="0"/>
    <n v="0"/>
    <s v="No"/>
    <m/>
    <s v="No"/>
    <s v="No"/>
    <s v="No"/>
    <m/>
    <s v="Moderate obstacle"/>
    <s v="Minor obstacle"/>
    <s v="Minor obstacle"/>
    <s v="Moderate obstacle"/>
    <x v="2"/>
    <s v="Are taken directly from establishment records"/>
    <n v="17"/>
    <n v="0"/>
    <n v="0"/>
    <x v="1"/>
    <n v="0.5"/>
    <n v="0.22474487139158894"/>
    <n v="0"/>
    <n v="60000000"/>
    <n v="0.23333333333333334"/>
    <n v="0.13333333333333333"/>
    <n v="100000000"/>
    <n v="0"/>
    <s v="Normal"/>
    <x v="1"/>
    <x v="0"/>
  </r>
  <r>
    <n v="1614125"/>
    <x v="1"/>
    <x v="0"/>
    <n v="110"/>
    <n v="2100"/>
    <n v="21"/>
    <x v="2"/>
    <n v="1981"/>
    <n v="44"/>
    <n v="1"/>
    <n v="13000000000"/>
    <n v="13000000000"/>
    <n v="90"/>
    <n v="57"/>
    <n v="44"/>
    <n v="1500000000"/>
    <n v="6000000000"/>
    <n v="12000000000"/>
    <x v="2"/>
    <s v="Yes"/>
    <x v="0"/>
    <x v="0"/>
    <n v="100"/>
    <n v="0"/>
    <n v="0"/>
    <s v="Yes"/>
    <n v="600000000"/>
    <s v="Yes"/>
    <s v="No"/>
    <s v="Yes"/>
    <n v="10"/>
    <s v="Major obstacle"/>
    <s v="Minor obstacle"/>
    <s v="Major obstacle"/>
    <s v="Major obstacle"/>
    <x v="3"/>
    <s v="Are taken directly from establishment records"/>
    <n v="43"/>
    <n v="600000000"/>
    <n v="10"/>
    <x v="0"/>
    <n v="0"/>
    <n v="0"/>
    <n v="0.29545454545454541"/>
    <n v="228070175.43859649"/>
    <n v="0.11538461538461539"/>
    <n v="0.46153846153846156"/>
    <n v="210526315.78947368"/>
    <n v="4.6153846153846156E-2"/>
    <s v="Review"/>
    <x v="0"/>
    <x v="1"/>
  </r>
  <r>
    <n v="1614130"/>
    <x v="1"/>
    <x v="1"/>
    <n v="7"/>
    <n v="3100"/>
    <n v="31"/>
    <x v="3"/>
    <n v="2020"/>
    <n v="15"/>
    <n v="143.61814880371094"/>
    <n v="24000000"/>
    <n v="17000000"/>
    <n v="70"/>
    <n v="5"/>
    <n v="4"/>
    <n v="4100000"/>
    <n v="12000000"/>
    <n v="11000000"/>
    <x v="1"/>
    <s v="Not asked (survey skip: screener employment &lt;20)"/>
    <x v="1"/>
    <x v="1"/>
    <n v="60"/>
    <n v="10"/>
    <n v="30"/>
    <s v="Yes"/>
    <n v="500000"/>
    <s v="Yes"/>
    <s v="No"/>
    <s v="Yes"/>
    <n v="6"/>
    <s v="Minor obstacle"/>
    <s v="No obstacle"/>
    <s v="No obstacle"/>
    <s v="Minor obstacle"/>
    <x v="0"/>
    <s v="Are in some case taken from books and in some case estimates"/>
    <n v="4"/>
    <n v="500000"/>
    <n v="6"/>
    <x v="1"/>
    <n v="0.41176470588235303"/>
    <n v="0.18817705157200915"/>
    <n v="0.25"/>
    <n v="4800000"/>
    <n v="0.17083333333333334"/>
    <n v="0.5"/>
    <n v="2200000"/>
    <n v="2.0833333333333332E-2"/>
    <s v="Normal"/>
    <x v="2"/>
    <x v="0"/>
  </r>
  <r>
    <n v="1614131"/>
    <x v="1"/>
    <x v="1"/>
    <n v="16"/>
    <n v="1811"/>
    <n v="18"/>
    <x v="4"/>
    <n v="1985"/>
    <n v="30"/>
    <n v="157.86735534667969"/>
    <n v="100000000"/>
    <n v="80000000"/>
    <n v="20"/>
    <n v="16"/>
    <n v="16"/>
    <n v="5000000"/>
    <n v="20000000"/>
    <n v="350000000"/>
    <x v="1"/>
    <s v="Not asked (survey skip: screener employment &lt;20)"/>
    <x v="0"/>
    <x v="0"/>
    <n v="80"/>
    <n v="0"/>
    <n v="0"/>
    <s v="No"/>
    <m/>
    <s v="No"/>
    <s v="No"/>
    <s v="No"/>
    <m/>
    <s v="Minor obstacle"/>
    <s v="No obstacle"/>
    <s v="No obstacle"/>
    <s v="No obstacle"/>
    <x v="1"/>
    <s v="Are in some case taken from books and in some case estimates"/>
    <n v="39"/>
    <n v="0"/>
    <n v="0"/>
    <x v="1"/>
    <n v="0.25"/>
    <n v="0.1180339887498949"/>
    <n v="0"/>
    <n v="6250000"/>
    <n v="0.05"/>
    <n v="0.2"/>
    <n v="21875000"/>
    <n v="0"/>
    <s v="Normal"/>
    <x v="0"/>
    <x v="0"/>
  </r>
  <r>
    <n v="1614136"/>
    <x v="1"/>
    <x v="0"/>
    <n v="1850"/>
    <n v="2410"/>
    <n v="24"/>
    <x v="5"/>
    <n v="1983"/>
    <n v="42"/>
    <n v="1"/>
    <n v="6000000000000"/>
    <n v="4000000000000"/>
    <n v="92"/>
    <n v="2000"/>
    <n v="1800"/>
    <n v="1000000000000"/>
    <n v="3000000000000"/>
    <n v="1000000000000"/>
    <x v="3"/>
    <s v="Yes"/>
    <x v="1"/>
    <x v="1"/>
    <n v="35"/>
    <n v="30"/>
    <n v="25"/>
    <s v="Yes"/>
    <n v="1000000000000"/>
    <s v="Yes"/>
    <s v="Yes"/>
    <s v="Yes"/>
    <n v="2"/>
    <s v="Moderate obstacle"/>
    <s v="Moderate obstacle"/>
    <s v="Minor obstacle"/>
    <s v="Moderate obstacle"/>
    <x v="0"/>
    <s v="Are taken directly from establishment records"/>
    <n v="41"/>
    <n v="1000000000000"/>
    <n v="2"/>
    <x v="0"/>
    <n v="0.5"/>
    <n v="0.22474487139158894"/>
    <n v="0.11111111111111116"/>
    <n v="3000000000"/>
    <n v="0.16666666666666666"/>
    <n v="0.5"/>
    <n v="500000000"/>
    <n v="0.16666666666666666"/>
    <s v="Review"/>
    <x v="0"/>
    <x v="0"/>
  </r>
  <r>
    <n v="1614138"/>
    <x v="0"/>
    <x v="1"/>
    <n v="9"/>
    <n v="1079"/>
    <n v="10"/>
    <x v="0"/>
    <n v="1992"/>
    <n v="30"/>
    <n v="1.7886078357696533"/>
    <n v="38000000"/>
    <n v="6000000"/>
    <n v="100"/>
    <n v="9"/>
    <n v="9"/>
    <n v="10000000"/>
    <m/>
    <n v="15000000"/>
    <x v="1"/>
    <s v="Not asked (survey skip: screener employment &lt;20)"/>
    <x v="0"/>
    <x v="0"/>
    <n v="40"/>
    <n v="0"/>
    <n v="0"/>
    <s v="No"/>
    <m/>
    <s v="No"/>
    <s v="No"/>
    <s v="Yes"/>
    <n v="8"/>
    <s v="Very severe obstacle"/>
    <s v="Moderate obstacle"/>
    <s v="No obstacle"/>
    <s v="Very severe obstacle"/>
    <x v="3"/>
    <s v="Are in some case taken from books and in some case estimates"/>
    <n v="32"/>
    <n v="0"/>
    <n v="8"/>
    <x v="1"/>
    <n v="5.333333333333333"/>
    <n v="1.5166114784235831"/>
    <n v="0"/>
    <n v="4222222.222222222"/>
    <n v="0.26315789473684209"/>
    <s v=""/>
    <n v="1666666.6666666667"/>
    <n v="0"/>
    <s v="Normal"/>
    <x v="0"/>
    <x v="2"/>
  </r>
  <r>
    <n v="1614139"/>
    <x v="2"/>
    <x v="1"/>
    <n v="5"/>
    <n v="3100"/>
    <n v="31"/>
    <x v="3"/>
    <n v="2002"/>
    <n v="24"/>
    <n v="68.626060485839844"/>
    <n v="40000000"/>
    <n v="22000000"/>
    <n v="4"/>
    <n v="5"/>
    <n v="5"/>
    <n v="12000000"/>
    <n v="16000000"/>
    <n v="24200000"/>
    <x v="1"/>
    <s v="Not asked (survey skip: screener employment &lt;20)"/>
    <x v="0"/>
    <x v="0"/>
    <n v="20"/>
    <n v="60"/>
    <n v="0"/>
    <s v="Yes"/>
    <n v="1000000"/>
    <s v="Yes"/>
    <s v="No"/>
    <s v="Yes"/>
    <n v="5"/>
    <s v="Major obstacle"/>
    <s v="Very severe obstacle"/>
    <s v="No obstacle"/>
    <s v="Minor obstacle"/>
    <x v="3"/>
    <s v="Are estimates computed with some precision"/>
    <n v="22"/>
    <n v="1000000"/>
    <n v="5"/>
    <x v="1"/>
    <n v="0.81818181818181812"/>
    <n v="0.34839972492648408"/>
    <n v="0"/>
    <n v="8000000"/>
    <n v="0.3"/>
    <n v="0.4"/>
    <n v="4840000"/>
    <n v="2.5000000000000001E-2"/>
    <s v="Normal"/>
    <x v="3"/>
    <x v="2"/>
  </r>
  <r>
    <n v="1614143"/>
    <x v="1"/>
    <x v="1"/>
    <n v="6"/>
    <n v="2599"/>
    <n v="25"/>
    <x v="6"/>
    <n v="1987"/>
    <n v="35"/>
    <n v="157.86735534667969"/>
    <n v="10000000"/>
    <n v="10000000"/>
    <n v="100"/>
    <n v="6"/>
    <n v="6"/>
    <n v="6000000"/>
    <n v="3000000"/>
    <n v="7000000"/>
    <x v="1"/>
    <s v="Not asked (survey skip: screener employment &lt;20)"/>
    <x v="0"/>
    <x v="0"/>
    <n v="80"/>
    <n v="10"/>
    <n v="0"/>
    <s v="No"/>
    <m/>
    <s v="No"/>
    <s v="Yes"/>
    <s v="Yes"/>
    <n v="2"/>
    <s v="Minor obstacle"/>
    <s v="Major obstacle"/>
    <s v="No obstacle"/>
    <s v="Minor obstacle"/>
    <x v="3"/>
    <s v="Are in some case taken from books and in some case estimates"/>
    <n v="37"/>
    <n v="0"/>
    <n v="2"/>
    <x v="1"/>
    <n v="0"/>
    <n v="0"/>
    <n v="0"/>
    <n v="1666666.6666666667"/>
    <n v="0.6"/>
    <n v="0.3"/>
    <n v="1166666.6666666667"/>
    <n v="0"/>
    <s v="Normal"/>
    <x v="0"/>
    <x v="1"/>
  </r>
  <r>
    <n v="1614144"/>
    <x v="1"/>
    <x v="1"/>
    <n v="50"/>
    <n v="1812"/>
    <n v="18"/>
    <x v="4"/>
    <n v="1995"/>
    <n v="17"/>
    <n v="585.955322265625"/>
    <n v="300000000"/>
    <n v="110000000"/>
    <n v="95"/>
    <n v="40"/>
    <n v="20"/>
    <n v="30000000"/>
    <n v="40000000"/>
    <n v="1000000000"/>
    <x v="4"/>
    <s v="Yes"/>
    <x v="0"/>
    <x v="1"/>
    <n v="80"/>
    <n v="10"/>
    <n v="0"/>
    <s v="Yes"/>
    <n v="300000000"/>
    <s v="Yes"/>
    <s v="No"/>
    <s v="Yes"/>
    <n v="6"/>
    <s v="Minor obstacle"/>
    <s v="No obstacle"/>
    <s v="No obstacle"/>
    <s v="Minor obstacle"/>
    <x v="4"/>
    <s v="Are estimates computed with some precision"/>
    <n v="29"/>
    <n v="300000000"/>
    <n v="6"/>
    <x v="0"/>
    <n v="1.7272727272727271"/>
    <n v="0.65144564768954094"/>
    <n v="1"/>
    <n v="7500000"/>
    <n v="0.1"/>
    <n v="0.13333333333333333"/>
    <n v="25000000"/>
    <n v="1"/>
    <s v="Normal"/>
    <x v="3"/>
    <x v="2"/>
  </r>
  <r>
    <n v="1614146"/>
    <x v="1"/>
    <x v="1"/>
    <n v="80"/>
    <n v="2023"/>
    <n v="20"/>
    <x v="7"/>
    <n v="2005"/>
    <n v="20"/>
    <n v="585.955322265625"/>
    <n v="2000000000"/>
    <n v="1000000000"/>
    <n v="70"/>
    <n v="80"/>
    <n v="40"/>
    <n v="200000000"/>
    <n v="800000000"/>
    <n v="700000000"/>
    <x v="5"/>
    <s v="Yes"/>
    <x v="1"/>
    <x v="1"/>
    <n v="40"/>
    <n v="5"/>
    <n v="0"/>
    <s v="Yes"/>
    <n v="80000000"/>
    <s v="Yes"/>
    <s v="No"/>
    <s v="Yes"/>
    <n v="4"/>
    <s v="Major obstacle"/>
    <s v="No obstacle"/>
    <s v="No obstacle"/>
    <s v="No obstacle"/>
    <x v="0"/>
    <s v="Are in some case taken from books and in some case estimates"/>
    <n v="19"/>
    <n v="80000000"/>
    <n v="4"/>
    <x v="0"/>
    <n v="1"/>
    <n v="0.41421356237309515"/>
    <n v="1"/>
    <n v="25000000"/>
    <n v="0.1"/>
    <n v="0.4"/>
    <n v="8750000"/>
    <n v="0.04"/>
    <s v="Normal"/>
    <x v="1"/>
    <x v="2"/>
  </r>
  <r>
    <n v="1614147"/>
    <x v="0"/>
    <x v="0"/>
    <n v="100"/>
    <n v="1079"/>
    <n v="10"/>
    <x v="0"/>
    <n v="1982"/>
    <n v="43"/>
    <n v="1"/>
    <n v="3000000000"/>
    <n v="2500000000"/>
    <n v="30"/>
    <n v="35"/>
    <n v="35"/>
    <n v="300000000"/>
    <n v="900000000"/>
    <n v="600000000"/>
    <x v="4"/>
    <s v="Yes"/>
    <x v="0"/>
    <x v="1"/>
    <n v="100"/>
    <n v="0"/>
    <n v="0"/>
    <s v="No"/>
    <m/>
    <s v="No"/>
    <s v="No"/>
    <s v="Yes"/>
    <n v="5"/>
    <s v="Major obstacle"/>
    <s v="Minor obstacle"/>
    <s v="Moderate obstacle"/>
    <s v="Very severe obstacle"/>
    <x v="5"/>
    <s v="Are in some case taken from books and in some case estimates"/>
    <n v="42"/>
    <n v="0"/>
    <n v="5"/>
    <x v="0"/>
    <n v="0.19999999999999996"/>
    <n v="9.5445115010332149E-2"/>
    <n v="0"/>
    <n v="85714285.714285716"/>
    <n v="0.1"/>
    <n v="0.3"/>
    <n v="17142857.142857142"/>
    <n v="0"/>
    <s v="Normal"/>
    <x v="0"/>
    <x v="0"/>
  </r>
  <r>
    <n v="1614149"/>
    <x v="3"/>
    <x v="2"/>
    <n v="10"/>
    <n v="1040"/>
    <n v="10"/>
    <x v="0"/>
    <n v="2013"/>
    <n v="10"/>
    <n v="1.8265390396118164"/>
    <n v="300000000"/>
    <n v="250000000"/>
    <n v="100"/>
    <n v="15"/>
    <n v="10"/>
    <n v="70000000"/>
    <n v="100000000"/>
    <n v="400000000"/>
    <x v="1"/>
    <s v="Not asked (survey skip: screener employment &lt;20)"/>
    <x v="0"/>
    <x v="0"/>
    <n v="40"/>
    <n v="0"/>
    <n v="40"/>
    <s v="No"/>
    <m/>
    <s v="No"/>
    <s v="No"/>
    <s v="Yes"/>
    <n v="7"/>
    <s v="Moderate obstacle"/>
    <s v="Minor obstacle"/>
    <s v="No obstacle"/>
    <s v="Very severe obstacle"/>
    <x v="5"/>
    <s v="Are in some case taken from books and in some case estimates"/>
    <n v="11"/>
    <n v="0"/>
    <n v="7"/>
    <x v="1"/>
    <n v="0.19999999999999996"/>
    <n v="9.5445115010332149E-2"/>
    <n v="0.5"/>
    <n v="20000000"/>
    <n v="0.23333333333333334"/>
    <n v="0.33333333333333331"/>
    <n v="26666666.666666668"/>
    <n v="0"/>
    <s v="Normal"/>
    <x v="1"/>
    <x v="0"/>
  </r>
  <r>
    <n v="1614151"/>
    <x v="1"/>
    <x v="0"/>
    <n v="355"/>
    <n v="1079"/>
    <n v="10"/>
    <x v="0"/>
    <n v="1994"/>
    <n v="25"/>
    <n v="1"/>
    <n v="68000000000"/>
    <n v="67000000000"/>
    <n v="69"/>
    <n v="124"/>
    <n v="118"/>
    <n v="4140000000"/>
    <n v="37820000000"/>
    <n v="95000000000"/>
    <x v="2"/>
    <s v="Yes"/>
    <x v="1"/>
    <x v="0"/>
    <n v="100"/>
    <n v="0"/>
    <n v="0"/>
    <s v="No"/>
    <m/>
    <s v="No"/>
    <s v="No"/>
    <s v="Yes"/>
    <n v="10"/>
    <s v="Very severe obstacle"/>
    <s v="Minor obstacle"/>
    <s v="Minor obstacle"/>
    <s v="Very severe obstacle"/>
    <x v="1"/>
    <s v="Are in some case taken from books and in some case estimates"/>
    <n v="30"/>
    <n v="0"/>
    <n v="10"/>
    <x v="0"/>
    <n v="1.4925373134328401E-2"/>
    <n v="7.4350466081316569E-3"/>
    <n v="5.0847457627118731E-2"/>
    <n v="548387096.77419353"/>
    <n v="6.0882352941176471E-2"/>
    <n v="0.55617647058823527"/>
    <n v="766129032.25806451"/>
    <n v="0"/>
    <s v="Review"/>
    <x v="0"/>
    <x v="1"/>
  </r>
  <r>
    <n v="1614153"/>
    <x v="0"/>
    <x v="2"/>
    <n v="8"/>
    <n v="3100"/>
    <n v="31"/>
    <x v="3"/>
    <n v="2021"/>
    <n v="5"/>
    <n v="3.0692381858825684"/>
    <n v="60000000"/>
    <n v="30000000"/>
    <n v="70"/>
    <n v="8"/>
    <n v="8"/>
    <n v="20000000"/>
    <n v="35000000"/>
    <m/>
    <x v="1"/>
    <s v="Not asked (survey skip: screener employment &lt;20)"/>
    <x v="0"/>
    <x v="0"/>
    <n v="30"/>
    <n v="25"/>
    <n v="20"/>
    <s v="No"/>
    <m/>
    <s v="Yes"/>
    <s v="No"/>
    <s v="Yes"/>
    <n v="6"/>
    <s v="Minor obstacle"/>
    <s v="Major obstacle"/>
    <s v="No obstacle"/>
    <s v="Major obstacle"/>
    <x v="0"/>
    <s v="Are taken directly from establishment records"/>
    <n v="3"/>
    <n v="0"/>
    <n v="6"/>
    <x v="1"/>
    <n v="1"/>
    <n v="0.41421356237309515"/>
    <n v="0"/>
    <n v="7500000"/>
    <n v="0.33333333333333331"/>
    <n v="0.58333333333333337"/>
    <s v=""/>
    <n v="0"/>
    <s v="Normal"/>
    <x v="2"/>
    <x v="2"/>
  </r>
  <r>
    <n v="1614155"/>
    <x v="2"/>
    <x v="2"/>
    <n v="16"/>
    <n v="1410"/>
    <n v="14"/>
    <x v="1"/>
    <n v="1990"/>
    <n v="35"/>
    <n v="2.4641058444976807"/>
    <n v="57242000"/>
    <n v="35000000"/>
    <n v="13"/>
    <n v="6"/>
    <n v="6"/>
    <n v="18000000"/>
    <n v="22500000"/>
    <n v="26500000"/>
    <x v="1"/>
    <s v="Not asked (survey skip: screener employment &lt;20)"/>
    <x v="0"/>
    <x v="0"/>
    <n v="50"/>
    <n v="10"/>
    <n v="10"/>
    <s v="No"/>
    <m/>
    <s v="Yes"/>
    <s v="Yes"/>
    <s v="Yes"/>
    <n v="0"/>
    <s v="Minor obstacle"/>
    <s v="Major obstacle"/>
    <s v="No obstacle"/>
    <s v="Minor obstacle"/>
    <x v="3"/>
    <s v="Are in some case taken from books and in some case estimates"/>
    <n v="34"/>
    <n v="0"/>
    <n v="0"/>
    <x v="1"/>
    <n v="0.63548571428571421"/>
    <n v="0.27886110046623669"/>
    <n v="0"/>
    <n v="9540333.333333334"/>
    <n v="0.31445442157856118"/>
    <n v="0.39306802697320148"/>
    <n v="4416666.666666667"/>
    <n v="0"/>
    <s v="Normal"/>
    <x v="0"/>
    <x v="2"/>
  </r>
  <r>
    <n v="1614157"/>
    <x v="0"/>
    <x v="1"/>
    <n v="7"/>
    <n v="1061"/>
    <n v="10"/>
    <x v="0"/>
    <n v="2015"/>
    <n v="10"/>
    <n v="26.253841400146484"/>
    <n v="32000000"/>
    <n v="28000000"/>
    <n v="65"/>
    <n v="7"/>
    <n v="7"/>
    <n v="12000000"/>
    <n v="18000000"/>
    <n v="20000000"/>
    <x v="1"/>
    <s v="Not asked (survey skip: screener employment &lt;20)"/>
    <x v="0"/>
    <x v="0"/>
    <n v="80"/>
    <n v="0"/>
    <n v="0"/>
    <s v="No"/>
    <m/>
    <s v="No"/>
    <s v="No"/>
    <s v="Yes"/>
    <n v="8"/>
    <s v="Moderate obstacle"/>
    <s v="Major obstacle"/>
    <s v="No obstacle"/>
    <s v="Major obstacle"/>
    <x v="0"/>
    <s v="Are estimates computed with some precision"/>
    <n v="9"/>
    <n v="0"/>
    <n v="8"/>
    <x v="1"/>
    <n v="0.14285714285714279"/>
    <n v="6.9044967649697586E-2"/>
    <n v="0"/>
    <n v="4571428.5714285718"/>
    <n v="0.375"/>
    <n v="0.5625"/>
    <n v="2857142.8571428573"/>
    <n v="0"/>
    <s v="Normal"/>
    <x v="2"/>
    <x v="0"/>
  </r>
  <r>
    <n v="1614160"/>
    <x v="2"/>
    <x v="1"/>
    <n v="16"/>
    <n v="3100"/>
    <n v="31"/>
    <x v="3"/>
    <n v="2009"/>
    <n v="20"/>
    <n v="68.626060485839844"/>
    <n v="45000000"/>
    <n v="18000000"/>
    <n v="60"/>
    <n v="12"/>
    <n v="8"/>
    <m/>
    <n v="30000000"/>
    <n v="50000000"/>
    <x v="1"/>
    <s v="Not asked (survey skip: screener employment &lt;20)"/>
    <x v="0"/>
    <x v="1"/>
    <n v="50"/>
    <n v="25"/>
    <n v="0"/>
    <s v="No"/>
    <m/>
    <s v="Yes"/>
    <s v="Yes"/>
    <s v="Yes"/>
    <n v="30"/>
    <s v="Major obstacle"/>
    <s v="Moderate obstacle"/>
    <s v="Minor obstacle"/>
    <s v="Major obstacle"/>
    <x v="1"/>
    <s v="Are estimates computed with some precision"/>
    <n v="15"/>
    <n v="0"/>
    <n v="30"/>
    <x v="1"/>
    <n v="1.5"/>
    <n v="0.58113883008418976"/>
    <n v="0.5"/>
    <n v="3750000"/>
    <s v=""/>
    <n v="0.66666666666666663"/>
    <n v="4166666.6666666665"/>
    <n v="0"/>
    <s v="Normal"/>
    <x v="1"/>
    <x v="2"/>
  </r>
  <r>
    <n v="1614161"/>
    <x v="0"/>
    <x v="1"/>
    <n v="7"/>
    <n v="1061"/>
    <n v="10"/>
    <x v="0"/>
    <n v="2000"/>
    <n v="25"/>
    <n v="118.82497406005859"/>
    <n v="154000000"/>
    <n v="144000000"/>
    <n v="100"/>
    <n v="7"/>
    <n v="7"/>
    <n v="21600000"/>
    <n v="35000000"/>
    <n v="300000000"/>
    <x v="1"/>
    <s v="Not asked (survey skip: screener employment &lt;20)"/>
    <x v="0"/>
    <x v="0"/>
    <n v="70"/>
    <n v="0"/>
    <n v="0"/>
    <s v="No"/>
    <m/>
    <s v="No"/>
    <s v="No"/>
    <s v="Yes"/>
    <n v="1"/>
    <s v="Moderate obstacle"/>
    <s v="Very severe obstacle"/>
    <s v="No obstacle"/>
    <s v="Major obstacle"/>
    <x v="1"/>
    <s v="Are taken directly from establishment records"/>
    <n v="24"/>
    <n v="0"/>
    <n v="1"/>
    <x v="1"/>
    <n v="6.944444444444442E-2"/>
    <n v="3.4139470499237934E-2"/>
    <n v="0"/>
    <n v="22000000"/>
    <n v="0.14025974025974025"/>
    <n v="0.22727272727272727"/>
    <n v="42857142.857142858"/>
    <n v="0"/>
    <s v="Normal"/>
    <x v="3"/>
    <x v="1"/>
  </r>
  <r>
    <n v="1614163"/>
    <x v="3"/>
    <x v="1"/>
    <n v="30"/>
    <n v="1040"/>
    <n v="10"/>
    <x v="0"/>
    <n v="1994"/>
    <n v="4"/>
    <n v="1"/>
    <n v="2165000000"/>
    <n v="1800000000"/>
    <n v="100"/>
    <n v="15"/>
    <n v="10"/>
    <n v="720000000"/>
    <n v="900000000"/>
    <n v="10000000000"/>
    <x v="1"/>
    <s v="Yes"/>
    <x v="1"/>
    <x v="0"/>
    <n v="0"/>
    <n v="0"/>
    <n v="30"/>
    <s v="Yes"/>
    <n v="100000000"/>
    <s v="No"/>
    <s v="No"/>
    <s v="Yes"/>
    <n v="3"/>
    <s v="Minor obstacle"/>
    <s v="No obstacle"/>
    <s v="No obstacle"/>
    <s v="Major obstacle"/>
    <x v="6"/>
    <s v="Are taken directly from establishment records"/>
    <n v="30"/>
    <n v="100000000"/>
    <n v="3"/>
    <x v="1"/>
    <n v="0.20277777777777772"/>
    <n v="9.6712258424139996E-2"/>
    <n v="0.5"/>
    <n v="144333333.33333334"/>
    <n v="0.33256351039260967"/>
    <n v="0.41570438799076215"/>
    <n v="666666666.66666663"/>
    <n v="4.6189376443418015E-2"/>
    <s v="Normal"/>
    <x v="0"/>
    <x v="0"/>
  </r>
  <r>
    <n v="1614165"/>
    <x v="0"/>
    <x v="2"/>
    <n v="13"/>
    <n v="1061"/>
    <n v="10"/>
    <x v="0"/>
    <n v="2006"/>
    <n v="22"/>
    <n v="2.7846395969390869"/>
    <n v="600000000"/>
    <n v="400000000"/>
    <n v="90"/>
    <n v="7"/>
    <n v="8"/>
    <n v="62400000"/>
    <n v="40000000"/>
    <n v="90000000"/>
    <x v="1"/>
    <s v="Not asked (survey skip: screener employment &lt;20)"/>
    <x v="1"/>
    <x v="0"/>
    <n v="100"/>
    <n v="0"/>
    <n v="0"/>
    <s v="No"/>
    <m/>
    <s v="No"/>
    <s v="Yes"/>
    <s v="Yes"/>
    <n v="3"/>
    <s v="Major obstacle"/>
    <s v="Major obstacle"/>
    <s v="Minor obstacle"/>
    <s v="Moderate obstacle"/>
    <x v="5"/>
    <s v="Are taken directly from establishment records"/>
    <n v="18"/>
    <n v="0"/>
    <n v="3"/>
    <x v="1"/>
    <n v="0.5"/>
    <n v="0.22474487139158894"/>
    <n v="-0.125"/>
    <n v="85714285.714285716"/>
    <n v="0.104"/>
    <n v="6.6666666666666666E-2"/>
    <n v="12857142.857142856"/>
    <n v="0"/>
    <s v="Normal"/>
    <x v="1"/>
    <x v="0"/>
  </r>
  <r>
    <n v="1614170"/>
    <x v="1"/>
    <x v="1"/>
    <n v="15"/>
    <n v="2511"/>
    <n v="25"/>
    <x v="6"/>
    <n v="2009"/>
    <n v="22"/>
    <n v="316.31961059570313"/>
    <n v="800000000"/>
    <n v="500000000"/>
    <n v="90"/>
    <n v="15"/>
    <n v="7"/>
    <n v="25000000"/>
    <m/>
    <m/>
    <x v="6"/>
    <s v="Not asked (survey skip: screener employment &lt;20)"/>
    <x v="1"/>
    <x v="0"/>
    <n v="60"/>
    <n v="20"/>
    <n v="0"/>
    <s v="No"/>
    <m/>
    <s v="Yes"/>
    <s v="No"/>
    <s v="Yes"/>
    <n v="8"/>
    <s v="Minor obstacle"/>
    <s v="No obstacle"/>
    <s v="No obstacle"/>
    <s v="No obstacle"/>
    <x v="2"/>
    <s v="Are in some case taken from books and in some case estimates"/>
    <n v="15"/>
    <n v="0"/>
    <n v="8"/>
    <x v="0"/>
    <n v="0.60000000000000009"/>
    <n v="0.26491106406735176"/>
    <n v="1.1428571428571428"/>
    <n v="53333333.333333336"/>
    <n v="3.125E-2"/>
    <s v=""/>
    <s v=""/>
    <n v="0"/>
    <s v="Normal"/>
    <x v="1"/>
    <x v="0"/>
  </r>
  <r>
    <n v="1614171"/>
    <x v="0"/>
    <x v="1"/>
    <n v="10"/>
    <n v="2511"/>
    <n v="25"/>
    <x v="6"/>
    <n v="2007"/>
    <n v="20"/>
    <n v="90.165229797363281"/>
    <n v="70000000"/>
    <n v="10000000"/>
    <n v="70"/>
    <n v="10"/>
    <n v="3"/>
    <n v="10000000"/>
    <n v="30000000"/>
    <n v="170000000"/>
    <x v="1"/>
    <s v="Not asked (survey skip: screener employment &lt;20)"/>
    <x v="0"/>
    <x v="0"/>
    <n v="90"/>
    <n v="0"/>
    <n v="0"/>
    <s v="No"/>
    <m/>
    <s v="No"/>
    <s v="No"/>
    <s v="Yes"/>
    <n v="3"/>
    <s v="Moderate obstacle"/>
    <s v="No obstacle"/>
    <s v="No obstacle"/>
    <s v="No obstacle"/>
    <x v="1"/>
    <s v="Are taken directly from establishment records"/>
    <n v="17"/>
    <n v="0"/>
    <n v="3"/>
    <x v="1"/>
    <n v="6"/>
    <n v="1.6457513110645907"/>
    <n v="2.3333333333333335"/>
    <n v="7000000"/>
    <n v="0.14285714285714285"/>
    <n v="0.42857142857142855"/>
    <n v="17000000"/>
    <n v="0"/>
    <s v="Normal"/>
    <x v="1"/>
    <x v="2"/>
  </r>
  <r>
    <n v="1614174"/>
    <x v="3"/>
    <x v="1"/>
    <n v="6"/>
    <n v="1811"/>
    <n v="18"/>
    <x v="4"/>
    <n v="1997"/>
    <n v="30"/>
    <n v="18.668731689453125"/>
    <n v="15000000"/>
    <n v="12000000"/>
    <n v="100"/>
    <n v="6"/>
    <n v="6"/>
    <n v="4000000"/>
    <n v="5000000"/>
    <n v="100000000"/>
    <x v="1"/>
    <s v="Not asked (survey skip: screener employment &lt;20)"/>
    <x v="0"/>
    <x v="0"/>
    <n v="50"/>
    <n v="50"/>
    <n v="0"/>
    <s v="No"/>
    <m/>
    <s v="No"/>
    <s v="No"/>
    <s v="Yes"/>
    <n v="5"/>
    <s v="Major obstacle"/>
    <s v="Minor obstacle"/>
    <s v="Minor obstacle"/>
    <s v="Minor obstacle"/>
    <x v="7"/>
    <s v="Are in some case taken from books and in some case estimates"/>
    <n v="27"/>
    <n v="0"/>
    <n v="5"/>
    <x v="1"/>
    <n v="0.25"/>
    <n v="0.1180339887498949"/>
    <n v="0"/>
    <n v="2500000"/>
    <n v="0.26666666666666666"/>
    <n v="0.33333333333333331"/>
    <n v="16666666.666666666"/>
    <n v="0"/>
    <s v="Normal"/>
    <x v="3"/>
    <x v="0"/>
  </r>
  <r>
    <n v="1614175"/>
    <x v="3"/>
    <x v="1"/>
    <n v="8"/>
    <n v="1811"/>
    <n v="18"/>
    <x v="4"/>
    <n v="2006"/>
    <n v="19"/>
    <n v="18.668731689453125"/>
    <n v="29430000"/>
    <n v="22570000"/>
    <n v="70"/>
    <n v="4"/>
    <n v="4"/>
    <n v="8046000"/>
    <n v="17000000"/>
    <n v="49570000"/>
    <x v="1"/>
    <s v="Not asked (survey skip: screener employment &lt;20)"/>
    <x v="0"/>
    <x v="0"/>
    <n v="60"/>
    <n v="0"/>
    <n v="10"/>
    <s v="Yes"/>
    <n v="2460000"/>
    <s v="No"/>
    <s v="No"/>
    <s v="Yes"/>
    <n v="6"/>
    <s v="Moderate obstacle"/>
    <s v="Minor obstacle"/>
    <s v="No obstacle"/>
    <s v="No obstacle"/>
    <x v="0"/>
    <s v="Are estimates computed with some precision"/>
    <n v="18"/>
    <n v="2460000"/>
    <n v="6"/>
    <x v="1"/>
    <n v="0.3039432875498449"/>
    <n v="0.14190336173856899"/>
    <n v="0"/>
    <n v="7357500"/>
    <n v="0.27339449541284405"/>
    <n v="0.57764186204553181"/>
    <n v="12392500"/>
    <n v="8.3588175331294604E-2"/>
    <s v="Normal"/>
    <x v="1"/>
    <x v="0"/>
  </r>
  <r>
    <n v="1614176"/>
    <x v="1"/>
    <x v="0"/>
    <n v="100"/>
    <n v="3100"/>
    <n v="31"/>
    <x v="3"/>
    <n v="1987"/>
    <n v="30"/>
    <n v="2.6891484260559082"/>
    <n v="15000000000"/>
    <n v="10000000000"/>
    <n v="40"/>
    <n v="40"/>
    <n v="35"/>
    <n v="2000000000"/>
    <n v="500000000"/>
    <n v="4000000000"/>
    <x v="1"/>
    <s v="No"/>
    <x v="0"/>
    <x v="0"/>
    <n v="100"/>
    <n v="0"/>
    <n v="0"/>
    <s v="No"/>
    <m/>
    <s v="No"/>
    <s v="No"/>
    <s v="No"/>
    <m/>
    <s v="No obstacle"/>
    <s v="Minor obstacle"/>
    <s v="No obstacle"/>
    <s v="Moderate obstacle"/>
    <x v="5"/>
    <s v="Are in some case taken from books and in some case estimates"/>
    <n v="37"/>
    <n v="0"/>
    <n v="0"/>
    <x v="1"/>
    <n v="0.5"/>
    <n v="0.22474487139158894"/>
    <n v="0.14285714285714279"/>
    <n v="375000000"/>
    <n v="0.13333333333333333"/>
    <n v="3.3333333333333333E-2"/>
    <n v="100000000"/>
    <n v="0"/>
    <s v="Review"/>
    <x v="0"/>
    <x v="0"/>
  </r>
  <r>
    <n v="1614178"/>
    <x v="1"/>
    <x v="0"/>
    <n v="10"/>
    <n v="2599"/>
    <n v="25"/>
    <x v="6"/>
    <n v="1984"/>
    <n v="41"/>
    <n v="1"/>
    <n v="30000000"/>
    <n v="40000000"/>
    <n v="85"/>
    <n v="7"/>
    <n v="10"/>
    <n v="4000000"/>
    <n v="13000000"/>
    <n v="35000000"/>
    <x v="1"/>
    <s v="Not asked (survey skip: screener employment &lt;20)"/>
    <x v="1"/>
    <x v="0"/>
    <n v="70"/>
    <n v="30"/>
    <n v="0"/>
    <s v="No"/>
    <m/>
    <s v="Yes"/>
    <s v="No"/>
    <s v="Yes"/>
    <n v="3"/>
    <s v="Minor obstacle"/>
    <s v="Minor obstacle"/>
    <s v="Minor obstacle"/>
    <s v="Moderate obstacle"/>
    <x v="0"/>
    <s v="Are taken directly from establishment records"/>
    <n v="40"/>
    <n v="0"/>
    <n v="3"/>
    <x v="1"/>
    <n v="-0.25"/>
    <n v="-0.1339745962155614"/>
    <n v="-0.30000000000000004"/>
    <n v="4285714.2857142854"/>
    <n v="0.13333333333333333"/>
    <n v="0.43333333333333335"/>
    <n v="5000000"/>
    <n v="0"/>
    <s v="Normal"/>
    <x v="0"/>
    <x v="1"/>
  </r>
  <r>
    <n v="1614179"/>
    <x v="1"/>
    <x v="0"/>
    <n v="94"/>
    <n v="2395"/>
    <n v="23"/>
    <x v="8"/>
    <n v="2004"/>
    <n v="20"/>
    <n v="1.5225752592086792"/>
    <n v="2000000000"/>
    <n v="1600000000"/>
    <n v="76"/>
    <n v="92"/>
    <n v="76"/>
    <m/>
    <n v="500000000"/>
    <n v="1800000000"/>
    <x v="1"/>
    <s v="Yes"/>
    <x v="1"/>
    <x v="1"/>
    <n v="100"/>
    <n v="0"/>
    <n v="0"/>
    <s v="Yes"/>
    <n v="1800000000"/>
    <s v="No"/>
    <s v="No"/>
    <s v="Yes"/>
    <n v="10"/>
    <s v="Major obstacle"/>
    <s v="Minor obstacle"/>
    <s v="No obstacle"/>
    <s v="Moderate obstacle"/>
    <x v="1"/>
    <s v="Are taken directly from establishment records"/>
    <n v="20"/>
    <n v="1800000000"/>
    <n v="10"/>
    <x v="1"/>
    <n v="0.25"/>
    <n v="0.1180339887498949"/>
    <n v="0.21052631578947367"/>
    <n v="21739130.434782609"/>
    <s v=""/>
    <n v="0.25"/>
    <n v="19565217.391304348"/>
    <n v="0.9"/>
    <s v="Normal"/>
    <x v="3"/>
    <x v="0"/>
  </r>
  <r>
    <n v="1614180"/>
    <x v="2"/>
    <x v="2"/>
    <n v="30"/>
    <n v="1071"/>
    <n v="10"/>
    <x v="0"/>
    <n v="2000"/>
    <n v="30"/>
    <n v="1.90281081199646"/>
    <n v="800000000"/>
    <n v="760000000"/>
    <n v="10"/>
    <n v="25"/>
    <n v="27"/>
    <n v="30000000"/>
    <n v="450000000"/>
    <n v="400000000"/>
    <x v="1"/>
    <s v="Yes"/>
    <x v="1"/>
    <x v="1"/>
    <n v="70"/>
    <n v="0"/>
    <n v="30"/>
    <s v="Yes"/>
    <n v="200000000"/>
    <s v="No"/>
    <s v="No"/>
    <s v="Yes"/>
    <n v="0"/>
    <s v="Moderate obstacle"/>
    <s v="Moderate obstacle"/>
    <s v="Major obstacle"/>
    <s v="Moderate obstacle"/>
    <x v="2"/>
    <s v="Are estimates computed with some precision"/>
    <n v="24"/>
    <n v="200000000"/>
    <n v="0"/>
    <x v="1"/>
    <n v="5.2631578947368363E-2"/>
    <n v="2.5978352085153977E-2"/>
    <n v="-7.407407407407407E-2"/>
    <n v="32000000"/>
    <n v="3.7499999999999999E-2"/>
    <n v="0.5625"/>
    <n v="16000000"/>
    <n v="0.25"/>
    <s v="Normal"/>
    <x v="3"/>
    <x v="1"/>
  </r>
  <r>
    <n v="1614182"/>
    <x v="1"/>
    <x v="1"/>
    <n v="15"/>
    <n v="2819"/>
    <n v="28"/>
    <x v="9"/>
    <n v="2001"/>
    <n v="15"/>
    <n v="143.61814880371094"/>
    <m/>
    <m/>
    <n v="60"/>
    <n v="20"/>
    <n v="15"/>
    <m/>
    <m/>
    <m/>
    <x v="1"/>
    <s v="Not asked (survey skip: screener employment &lt;20)"/>
    <x v="0"/>
    <x v="0"/>
    <n v="100"/>
    <n v="0"/>
    <n v="0"/>
    <s v="Yes"/>
    <n v="0"/>
    <s v="No"/>
    <s v="No"/>
    <s v="Yes"/>
    <n v="8"/>
    <s v="Very severe obstacle"/>
    <s v="Very severe obstacle"/>
    <s v="No obstacle"/>
    <s v="Very severe obstacle"/>
    <x v="3"/>
    <s v="Are arbitrary and unreliable numbers"/>
    <n v="23"/>
    <n v="0"/>
    <n v="8"/>
    <x v="1"/>
    <s v=""/>
    <s v=""/>
    <n v="0.33333333333333326"/>
    <s v=""/>
    <s v=""/>
    <s v=""/>
    <s v=""/>
    <s v=""/>
    <s v="Normal"/>
    <x v="3"/>
    <x v="3"/>
  </r>
  <r>
    <n v="1614183"/>
    <x v="2"/>
    <x v="2"/>
    <n v="12"/>
    <n v="1071"/>
    <n v="10"/>
    <x v="0"/>
    <n v="2015"/>
    <n v="10"/>
    <n v="1.5243005752563477"/>
    <n v="217920000"/>
    <m/>
    <n v="2"/>
    <n v="12"/>
    <n v="24"/>
    <n v="36950400"/>
    <n v="172800000"/>
    <n v="6000000"/>
    <x v="1"/>
    <s v="Not asked (survey skip: screener employment &lt;20)"/>
    <x v="1"/>
    <x v="1"/>
    <n v="80"/>
    <n v="0"/>
    <n v="20"/>
    <s v="No"/>
    <m/>
    <s v="No"/>
    <s v="No"/>
    <s v="Yes"/>
    <n v="4"/>
    <s v="Minor obstacle"/>
    <s v="Very severe obstacle"/>
    <s v="No obstacle"/>
    <s v="No obstacle"/>
    <x v="3"/>
    <s v="Are estimates computed with some precision"/>
    <n v="9"/>
    <n v="0"/>
    <n v="4"/>
    <x v="1"/>
    <s v=""/>
    <s v=""/>
    <n v="-0.5"/>
    <n v="18160000"/>
    <n v="0.16955947136563876"/>
    <n v="0.79295154185022021"/>
    <n v="500000"/>
    <n v="0"/>
    <s v="Normal"/>
    <x v="2"/>
    <x v="3"/>
  </r>
  <r>
    <n v="1614185"/>
    <x v="1"/>
    <x v="1"/>
    <n v="7"/>
    <n v="1811"/>
    <n v="18"/>
    <x v="4"/>
    <n v="2000"/>
    <n v="14"/>
    <n v="157.86735534667969"/>
    <n v="30000000"/>
    <n v="20000000"/>
    <n v="90"/>
    <n v="8"/>
    <n v="2"/>
    <n v="10000000"/>
    <n v="15000000"/>
    <n v="40000000"/>
    <x v="1"/>
    <s v="Not asked (survey skip: screener employment &lt;20)"/>
    <x v="0"/>
    <x v="0"/>
    <n v="20"/>
    <n v="0"/>
    <n v="70"/>
    <s v="No"/>
    <m/>
    <s v="No"/>
    <s v="No"/>
    <s v="No"/>
    <m/>
    <s v="Minor obstacle"/>
    <s v="Minor obstacle"/>
    <s v="Minor obstacle"/>
    <s v="No obstacle"/>
    <x v="0"/>
    <s v="Are in some case taken from books and in some case estimates"/>
    <n v="24"/>
    <n v="0"/>
    <n v="0"/>
    <x v="1"/>
    <n v="0.5"/>
    <n v="0.22474487139158894"/>
    <n v="3"/>
    <n v="3750000"/>
    <n v="0.33333333333333331"/>
    <n v="0.5"/>
    <n v="5000000"/>
    <n v="0"/>
    <s v="Normal"/>
    <x v="3"/>
    <x v="0"/>
  </r>
  <r>
    <n v="1614193"/>
    <x v="0"/>
    <x v="0"/>
    <n v="300"/>
    <n v="1061"/>
    <n v="10"/>
    <x v="0"/>
    <n v="2009"/>
    <n v="30"/>
    <n v="1"/>
    <n v="1200000000"/>
    <n v="1000000000"/>
    <n v="60"/>
    <n v="300"/>
    <n v="250"/>
    <n v="200000000"/>
    <n v="500000000"/>
    <n v="600000000"/>
    <x v="5"/>
    <s v="Yes"/>
    <x v="0"/>
    <x v="1"/>
    <n v="60"/>
    <n v="40"/>
    <n v="0"/>
    <s v="No"/>
    <m/>
    <s v="No"/>
    <s v="No"/>
    <s v="Yes"/>
    <n v="2"/>
    <s v="Moderate obstacle"/>
    <s v="Moderate obstacle"/>
    <s v="Minor obstacle"/>
    <s v="Minor obstacle"/>
    <x v="0"/>
    <s v="Are in some case taken from books and in some case estimates"/>
    <n v="15"/>
    <n v="0"/>
    <n v="2"/>
    <x v="0"/>
    <n v="0.19999999999999996"/>
    <n v="9.5445115010332149E-2"/>
    <n v="0.19999999999999996"/>
    <n v="4000000"/>
    <n v="0.16666666666666666"/>
    <n v="0.41666666666666669"/>
    <n v="2000000"/>
    <n v="0"/>
    <s v="Normal"/>
    <x v="1"/>
    <x v="0"/>
  </r>
  <r>
    <n v="1614202"/>
    <x v="2"/>
    <x v="1"/>
    <n v="5"/>
    <n v="2511"/>
    <n v="25"/>
    <x v="6"/>
    <n v="1996"/>
    <n v="40"/>
    <n v="68.626060485839844"/>
    <n v="12000000"/>
    <m/>
    <m/>
    <n v="5"/>
    <n v="6"/>
    <m/>
    <m/>
    <n v="2500000"/>
    <x v="1"/>
    <s v="Not asked (survey skip: screener employment &lt;20)"/>
    <x v="1"/>
    <x v="0"/>
    <n v="20"/>
    <n v="0"/>
    <n v="80"/>
    <s v="No"/>
    <m/>
    <s v="No"/>
    <s v="No"/>
    <m/>
    <m/>
    <s v="Major obstacle"/>
    <s v="Moderate obstacle"/>
    <s v="Minor obstacle"/>
    <s v="Major obstacle"/>
    <x v="8"/>
    <s v="Are estimates computed with some precision"/>
    <n v="28"/>
    <n v="0"/>
    <s v=""/>
    <x v="1"/>
    <s v=""/>
    <s v=""/>
    <n v="-0.16666666666666663"/>
    <n v="2400000"/>
    <s v=""/>
    <s v=""/>
    <n v="500000"/>
    <n v="0"/>
    <s v="Normal"/>
    <x v="3"/>
    <x v="3"/>
  </r>
  <r>
    <n v="1614203"/>
    <x v="1"/>
    <x v="0"/>
    <n v="55"/>
    <n v="2599"/>
    <n v="25"/>
    <x v="6"/>
    <n v="1956"/>
    <n v="50"/>
    <n v="1"/>
    <n v="750000000"/>
    <n v="500000000"/>
    <n v="65"/>
    <n v="53"/>
    <n v="65"/>
    <n v="50000000"/>
    <n v="300000000"/>
    <n v="350000000"/>
    <x v="1"/>
    <s v="Yes"/>
    <x v="1"/>
    <x v="0"/>
    <n v="70"/>
    <n v="0"/>
    <n v="0"/>
    <s v="No"/>
    <m/>
    <s v="No"/>
    <s v="No"/>
    <s v="Yes"/>
    <n v="4"/>
    <s v="Moderate obstacle"/>
    <s v="Moderate obstacle"/>
    <s v="Minor obstacle"/>
    <s v="Moderate obstacle"/>
    <x v="0"/>
    <s v="Are taken directly from establishment records"/>
    <n v="68"/>
    <n v="0"/>
    <n v="4"/>
    <x v="1"/>
    <n v="0.5"/>
    <n v="0.22474487139158894"/>
    <n v="-0.18461538461538463"/>
    <n v="14150943.396226415"/>
    <n v="6.6666666666666666E-2"/>
    <n v="0.4"/>
    <n v="6603773.5849056607"/>
    <n v="0"/>
    <s v="Normal"/>
    <x v="0"/>
    <x v="0"/>
  </r>
  <r>
    <n v="1614206"/>
    <x v="3"/>
    <x v="2"/>
    <n v="6"/>
    <n v="1811"/>
    <n v="18"/>
    <x v="4"/>
    <n v="2010"/>
    <n v="12"/>
    <n v="1.8398361206054688"/>
    <n v="16450000"/>
    <n v="8210000"/>
    <n v="70"/>
    <n v="4"/>
    <n v="2"/>
    <n v="2165000"/>
    <n v="7000000"/>
    <n v="70500000"/>
    <x v="1"/>
    <s v="Not asked (survey skip: screener employment &lt;20)"/>
    <x v="0"/>
    <x v="0"/>
    <n v="70"/>
    <n v="0"/>
    <n v="0"/>
    <s v="No"/>
    <m/>
    <s v="No"/>
    <s v="No"/>
    <s v="Yes"/>
    <n v="5"/>
    <s v="Minor obstacle"/>
    <s v="Moderate obstacle"/>
    <s v="Major obstacle"/>
    <s v="Minor obstacle"/>
    <x v="9"/>
    <s v="Are estimates computed with some precision"/>
    <n v="14"/>
    <n v="0"/>
    <n v="5"/>
    <x v="1"/>
    <n v="1.0036540803897687"/>
    <n v="0.41550488532882457"/>
    <n v="1"/>
    <n v="4112500"/>
    <n v="0.13161094224924011"/>
    <n v="0.42553191489361702"/>
    <n v="17625000"/>
    <n v="0"/>
    <s v="Normal"/>
    <x v="1"/>
    <x v="2"/>
  </r>
  <r>
    <n v="1614208"/>
    <x v="2"/>
    <x v="1"/>
    <n v="6"/>
    <n v="1410"/>
    <n v="14"/>
    <x v="1"/>
    <n v="2000"/>
    <n v="25"/>
    <n v="46.711292266845703"/>
    <n v="40000000"/>
    <n v="15000000"/>
    <n v="50"/>
    <n v="6"/>
    <n v="6"/>
    <m/>
    <n v="30000000"/>
    <n v="11100000"/>
    <x v="1"/>
    <s v="Not asked (survey skip: screener employment &lt;20)"/>
    <x v="1"/>
    <x v="1"/>
    <n v="73"/>
    <n v="0"/>
    <n v="7"/>
    <s v="Yes"/>
    <n v="2500000"/>
    <s v="Yes"/>
    <s v="Yes"/>
    <s v="Yes"/>
    <n v="3"/>
    <s v="Major obstacle"/>
    <s v="No obstacle"/>
    <s v="No obstacle"/>
    <s v="No obstacle"/>
    <x v="8"/>
    <s v="Are estimates computed with some precision"/>
    <n v="24"/>
    <n v="2500000"/>
    <n v="3"/>
    <x v="1"/>
    <n v="1.6666666666666665"/>
    <n v="0.63299316185545207"/>
    <n v="0"/>
    <n v="6666666.666666667"/>
    <s v=""/>
    <n v="0.75"/>
    <n v="1850000"/>
    <n v="6.25E-2"/>
    <s v="Normal"/>
    <x v="3"/>
    <x v="2"/>
  </r>
  <r>
    <n v="1614212"/>
    <x v="1"/>
    <x v="1"/>
    <n v="10"/>
    <n v="1622"/>
    <n v="16"/>
    <x v="10"/>
    <n v="2014"/>
    <n v="10"/>
    <n v="157.86735534667969"/>
    <n v="30000000"/>
    <n v="15000000"/>
    <n v="35"/>
    <n v="5"/>
    <n v="3"/>
    <n v="10000000"/>
    <n v="5000000"/>
    <n v="60000000"/>
    <x v="1"/>
    <s v="Not asked (survey skip: screener employment &lt;20)"/>
    <x v="0"/>
    <x v="0"/>
    <n v="0"/>
    <n v="0"/>
    <n v="0"/>
    <s v="No"/>
    <m/>
    <s v="No"/>
    <s v="No"/>
    <s v="No"/>
    <m/>
    <s v="No obstacle"/>
    <s v="No obstacle"/>
    <s v="No obstacle"/>
    <s v="Major obstacle"/>
    <x v="5"/>
    <s v="Are estimates computed with some precision"/>
    <n v="10"/>
    <n v="0"/>
    <n v="0"/>
    <x v="1"/>
    <n v="1"/>
    <n v="0.41421356237309515"/>
    <n v="0.66666666666666674"/>
    <n v="6000000"/>
    <n v="0.33333333333333331"/>
    <n v="0.16666666666666666"/>
    <n v="12000000"/>
    <n v="0"/>
    <s v="Normal"/>
    <x v="1"/>
    <x v="2"/>
  </r>
  <r>
    <n v="1614213"/>
    <x v="1"/>
    <x v="0"/>
    <n v="20"/>
    <n v="1061"/>
    <n v="10"/>
    <x v="0"/>
    <n v="2001"/>
    <n v="15"/>
    <n v="3.8174867630004883"/>
    <n v="2000000"/>
    <m/>
    <n v="10"/>
    <n v="5"/>
    <m/>
    <m/>
    <m/>
    <m/>
    <x v="1"/>
    <s v="No"/>
    <x v="0"/>
    <x v="0"/>
    <n v="100"/>
    <n v="0"/>
    <n v="0"/>
    <s v="No"/>
    <m/>
    <s v="No"/>
    <s v="No"/>
    <s v="Yes"/>
    <n v="6"/>
    <s v="No obstacle"/>
    <s v="Major obstacle"/>
    <s v="No obstacle"/>
    <s v="Very severe obstacle"/>
    <x v="3"/>
    <s v="Are estimates computed with some precision"/>
    <n v="23"/>
    <n v="0"/>
    <n v="6"/>
    <x v="1"/>
    <s v=""/>
    <s v=""/>
    <s v=""/>
    <n v="400000"/>
    <s v=""/>
    <s v=""/>
    <s v=""/>
    <n v="0"/>
    <s v="Normal"/>
    <x v="3"/>
    <x v="3"/>
  </r>
  <r>
    <n v="1614215"/>
    <x v="1"/>
    <x v="0"/>
    <n v="66"/>
    <n v="1811"/>
    <n v="18"/>
    <x v="4"/>
    <n v="1997"/>
    <n v="13"/>
    <n v="1"/>
    <n v="5000000000"/>
    <n v="2000000000"/>
    <n v="100"/>
    <n v="46"/>
    <n v="38"/>
    <n v="300000000"/>
    <n v="1000000000"/>
    <m/>
    <x v="1"/>
    <s v="Yes"/>
    <x v="0"/>
    <x v="0"/>
    <n v="40"/>
    <n v="50"/>
    <n v="10"/>
    <s v="Yes"/>
    <n v="85000000"/>
    <s v="Yes"/>
    <s v="No"/>
    <s v="Yes"/>
    <n v="7"/>
    <s v="Minor obstacle"/>
    <s v="Moderate obstacle"/>
    <s v="Minor obstacle"/>
    <s v="Major obstacle"/>
    <x v="0"/>
    <s v="Are in some case taken from books and in some case estimates"/>
    <n v="27"/>
    <n v="85000000"/>
    <n v="7"/>
    <x v="1"/>
    <n v="1.5"/>
    <n v="0.58113883008418976"/>
    <n v="0.21052631578947367"/>
    <n v="108695652.17391305"/>
    <n v="0.06"/>
    <n v="0.2"/>
    <s v=""/>
    <n v="1.7000000000000001E-2"/>
    <s v="Normal"/>
    <x v="3"/>
    <x v="2"/>
  </r>
  <r>
    <n v="1614218"/>
    <x v="1"/>
    <x v="0"/>
    <n v="6"/>
    <n v="2511"/>
    <n v="25"/>
    <x v="6"/>
    <n v="1984"/>
    <n v="39"/>
    <n v="1"/>
    <m/>
    <m/>
    <n v="10"/>
    <n v="5"/>
    <n v="30"/>
    <m/>
    <m/>
    <m/>
    <x v="1"/>
    <s v="Not asked (survey skip: screener employment &lt;20)"/>
    <x v="1"/>
    <x v="0"/>
    <n v="90"/>
    <n v="0"/>
    <n v="0"/>
    <s v="No"/>
    <m/>
    <s v="Yes"/>
    <s v="No"/>
    <s v="Yes"/>
    <n v="4"/>
    <s v="Very severe obstacle"/>
    <s v="Major obstacle"/>
    <s v="Minor obstacle"/>
    <s v="Major obstacle"/>
    <x v="1"/>
    <s v="Are in some case taken from books and in some case estimates"/>
    <n v="40"/>
    <n v="0"/>
    <n v="4"/>
    <x v="1"/>
    <s v=""/>
    <s v=""/>
    <n v="-0.83333333333333337"/>
    <s v=""/>
    <s v=""/>
    <s v=""/>
    <s v=""/>
    <n v="0"/>
    <s v="Normal"/>
    <x v="0"/>
    <x v="3"/>
  </r>
  <r>
    <n v="1614219"/>
    <x v="1"/>
    <x v="1"/>
    <n v="6"/>
    <n v="1410"/>
    <n v="14"/>
    <x v="1"/>
    <n v="1975"/>
    <n v="50"/>
    <n v="5.7243895530700684"/>
    <n v="3600000"/>
    <n v="3000000"/>
    <n v="50"/>
    <n v="6"/>
    <n v="6"/>
    <n v="2000000"/>
    <n v="3500000"/>
    <n v="10000000"/>
    <x v="1"/>
    <s v="Not asked (survey skip: screener employment &lt;20)"/>
    <x v="1"/>
    <x v="0"/>
    <n v="60"/>
    <n v="0"/>
    <n v="0"/>
    <s v="No"/>
    <m/>
    <s v="No"/>
    <s v="No"/>
    <s v="Yes"/>
    <n v="5"/>
    <s v="Major obstacle"/>
    <s v="Minor obstacle"/>
    <s v="Moderate obstacle"/>
    <s v="Very severe obstacle"/>
    <x v="9"/>
    <s v="Are estimates computed with some precision"/>
    <n v="49"/>
    <n v="0"/>
    <n v="5"/>
    <x v="1"/>
    <n v="0.19999999999999996"/>
    <n v="9.5445115010332149E-2"/>
    <n v="0"/>
    <n v="600000"/>
    <n v="0.55555555555555558"/>
    <n v="0.97222222222222221"/>
    <n v="1666666.6666666667"/>
    <n v="0"/>
    <s v="Normal"/>
    <x v="0"/>
    <x v="0"/>
  </r>
  <r>
    <n v="1614220"/>
    <x v="1"/>
    <x v="0"/>
    <n v="500"/>
    <n v="1103"/>
    <n v="11"/>
    <x v="11"/>
    <n v="1951"/>
    <n v="25"/>
    <n v="1"/>
    <n v="50000000000"/>
    <n v="35000000000"/>
    <n v="85"/>
    <n v="500"/>
    <n v="500"/>
    <n v="2000000000"/>
    <m/>
    <m/>
    <x v="4"/>
    <s v="Yes"/>
    <x v="1"/>
    <x v="0"/>
    <n v="100"/>
    <n v="0"/>
    <n v="0"/>
    <s v="No"/>
    <m/>
    <s v="No"/>
    <s v="No"/>
    <s v="Yes"/>
    <n v="10"/>
    <s v="Moderate obstacle"/>
    <s v="No obstacle"/>
    <s v="No obstacle"/>
    <s v="Major obstacle"/>
    <x v="0"/>
    <s v="Are estimates computed with some precision"/>
    <n v="73"/>
    <n v="0"/>
    <n v="10"/>
    <x v="0"/>
    <n v="0.4285714285714286"/>
    <n v="0.19522860933439357"/>
    <n v="0"/>
    <n v="100000000"/>
    <n v="0.04"/>
    <s v=""/>
    <s v=""/>
    <n v="0"/>
    <s v="Review"/>
    <x v="0"/>
    <x v="0"/>
  </r>
  <r>
    <n v="1614222"/>
    <x v="1"/>
    <x v="0"/>
    <n v="50"/>
    <n v="2511"/>
    <n v="25"/>
    <x v="6"/>
    <n v="1965"/>
    <n v="17"/>
    <n v="1"/>
    <n v="1200000000"/>
    <n v="3000000000"/>
    <n v="80"/>
    <n v="50"/>
    <n v="60"/>
    <n v="200000000"/>
    <n v="100000000"/>
    <m/>
    <x v="1"/>
    <s v="Yes"/>
    <x v="1"/>
    <x v="0"/>
    <n v="100"/>
    <n v="0"/>
    <n v="0"/>
    <s v="Yes"/>
    <n v="109500000"/>
    <s v="No"/>
    <s v="No"/>
    <s v="Yes"/>
    <n v="10"/>
    <s v="Minor obstacle"/>
    <s v="Minor obstacle"/>
    <s v="No obstacle"/>
    <s v="Moderate obstacle"/>
    <x v="0"/>
    <s v="Are taken directly from establishment records"/>
    <n v="59"/>
    <n v="109500000"/>
    <n v="10"/>
    <x v="1"/>
    <n v="-0.6"/>
    <n v="-0.36754446796632412"/>
    <n v="-0.16666666666666663"/>
    <n v="24000000"/>
    <n v="0.16666666666666666"/>
    <n v="8.3333333333333329E-2"/>
    <s v=""/>
    <n v="9.1249999999999998E-2"/>
    <s v="Normal"/>
    <x v="0"/>
    <x v="1"/>
  </r>
  <r>
    <n v="1614223"/>
    <x v="1"/>
    <x v="1"/>
    <n v="6"/>
    <n v="1622"/>
    <n v="16"/>
    <x v="10"/>
    <n v="2012"/>
    <n v="28"/>
    <n v="143.61814880371094"/>
    <m/>
    <m/>
    <n v="90"/>
    <n v="4"/>
    <n v="4"/>
    <n v="1500000"/>
    <n v="7000000"/>
    <n v="1500000"/>
    <x v="7"/>
    <s v="Not asked (survey skip: screener employment &lt;20)"/>
    <x v="0"/>
    <x v="0"/>
    <n v="80"/>
    <n v="0"/>
    <n v="0"/>
    <s v="Yes"/>
    <n v="450000"/>
    <s v="No"/>
    <s v="No"/>
    <s v="Yes"/>
    <n v="2"/>
    <s v="Minor obstacle"/>
    <s v="Minor obstacle"/>
    <s v="Moderate obstacle"/>
    <s v="Moderate obstacle"/>
    <x v="4"/>
    <s v="Are arbitrary and unreliable numbers"/>
    <n v="12"/>
    <n v="450000"/>
    <n v="2"/>
    <x v="0"/>
    <s v=""/>
    <s v=""/>
    <n v="0"/>
    <s v=""/>
    <s v=""/>
    <s v=""/>
    <n v="375000"/>
    <s v=""/>
    <s v="Normal"/>
    <x v="1"/>
    <x v="3"/>
  </r>
  <r>
    <n v="1614224"/>
    <x v="0"/>
    <x v="2"/>
    <n v="14"/>
    <n v="3312"/>
    <n v="33"/>
    <x v="12"/>
    <n v="2005"/>
    <n v="20"/>
    <n v="1.1482189893722534"/>
    <n v="50000000"/>
    <n v="36000000"/>
    <n v="10"/>
    <n v="14"/>
    <n v="5"/>
    <n v="10000000"/>
    <m/>
    <n v="40000000"/>
    <x v="1"/>
    <s v="Not asked (survey skip: screener employment &lt;20)"/>
    <x v="0"/>
    <x v="0"/>
    <n v="0"/>
    <n v="0"/>
    <n v="0"/>
    <s v="No"/>
    <m/>
    <s v="No"/>
    <s v="No"/>
    <s v="Yes"/>
    <n v="2"/>
    <s v="Minor obstacle"/>
    <s v="Major obstacle"/>
    <s v="Minor obstacle"/>
    <s v="Minor obstacle"/>
    <x v="3"/>
    <s v="Are estimates computed with some precision"/>
    <n v="19"/>
    <n v="0"/>
    <n v="2"/>
    <x v="1"/>
    <n v="0.38888888888888884"/>
    <n v="0.17851130197757925"/>
    <n v="1.7999999999999998"/>
    <n v="3571428.5714285714"/>
    <n v="0.2"/>
    <s v=""/>
    <n v="2857142.8571428573"/>
    <n v="0"/>
    <s v="Normal"/>
    <x v="1"/>
    <x v="0"/>
  </r>
  <r>
    <n v="1614225"/>
    <x v="2"/>
    <x v="1"/>
    <n v="6"/>
    <n v="1061"/>
    <n v="10"/>
    <x v="0"/>
    <n v="2018"/>
    <n v="10"/>
    <n v="11.033946990966797"/>
    <n v="25000000"/>
    <n v="30000000"/>
    <n v="100"/>
    <n v="6"/>
    <n v="6"/>
    <n v="7200000"/>
    <n v="5000000"/>
    <n v="200000000"/>
    <x v="1"/>
    <s v="Not asked (survey skip: screener employment &lt;20)"/>
    <x v="0"/>
    <x v="0"/>
    <n v="80"/>
    <n v="0"/>
    <n v="0"/>
    <s v="No"/>
    <m/>
    <s v="No"/>
    <s v="No"/>
    <s v="Yes"/>
    <n v="8"/>
    <s v="No obstacle"/>
    <s v="No obstacle"/>
    <s v="No obstacle"/>
    <s v="No obstacle"/>
    <x v="0"/>
    <s v="Are in some case taken from books and in some case estimates"/>
    <n v="6"/>
    <n v="0"/>
    <n v="8"/>
    <x v="1"/>
    <n v="-0.16666666666666663"/>
    <n v="-8.7129070824723098E-2"/>
    <n v="0"/>
    <n v="4166666.6666666665"/>
    <n v="0.28799999999999998"/>
    <n v="0.2"/>
    <n v="33333333.333333332"/>
    <n v="0"/>
    <s v="Normal"/>
    <x v="2"/>
    <x v="1"/>
  </r>
  <r>
    <n v="1614227"/>
    <x v="2"/>
    <x v="2"/>
    <n v="15"/>
    <n v="2599"/>
    <n v="25"/>
    <x v="6"/>
    <n v="1997"/>
    <n v="30"/>
    <n v="5.2876315116882324"/>
    <n v="50000000"/>
    <n v="100000000"/>
    <n v="55"/>
    <n v="7"/>
    <n v="6"/>
    <n v="11160000"/>
    <n v="7000000"/>
    <n v="7000000"/>
    <x v="1"/>
    <s v="Not asked (survey skip: screener employment &lt;20)"/>
    <x v="0"/>
    <x v="0"/>
    <n v="80"/>
    <n v="0"/>
    <n v="20"/>
    <s v="No"/>
    <m/>
    <s v="No"/>
    <s v="No"/>
    <s v="Yes"/>
    <n v="7"/>
    <s v="Moderate obstacle"/>
    <s v="Minor obstacle"/>
    <s v="Minor obstacle"/>
    <s v="Minor obstacle"/>
    <x v="6"/>
    <s v="Are estimates computed with some precision"/>
    <n v="27"/>
    <n v="0"/>
    <n v="7"/>
    <x v="1"/>
    <n v="-0.5"/>
    <n v="-0.29289321881345243"/>
    <n v="0.16666666666666674"/>
    <n v="7142857.1428571427"/>
    <n v="0.22320000000000001"/>
    <n v="0.14000000000000001"/>
    <n v="1000000"/>
    <n v="0"/>
    <s v="Normal"/>
    <x v="3"/>
    <x v="1"/>
  </r>
  <r>
    <n v="1614229"/>
    <x v="0"/>
    <x v="1"/>
    <n v="10"/>
    <n v="1061"/>
    <n v="10"/>
    <x v="0"/>
    <n v="2001"/>
    <n v="24"/>
    <n v="1.7984211444854736"/>
    <n v="182500000"/>
    <n v="180000000"/>
    <n v="100"/>
    <n v="9"/>
    <n v="8"/>
    <n v="48000000"/>
    <n v="70000000"/>
    <n v="120000000"/>
    <x v="1"/>
    <s v="Not asked (survey skip: screener employment &lt;20)"/>
    <x v="0"/>
    <x v="0"/>
    <n v="70"/>
    <n v="0"/>
    <n v="0"/>
    <s v="No"/>
    <m/>
    <s v="No"/>
    <s v="No"/>
    <s v="Yes"/>
    <n v="5"/>
    <s v="Moderate obstacle"/>
    <s v="Major obstacle"/>
    <s v="No obstacle"/>
    <s v="Moderate obstacle"/>
    <x v="3"/>
    <s v="Are taken directly from establishment records"/>
    <n v="23"/>
    <n v="0"/>
    <n v="5"/>
    <x v="1"/>
    <n v="1.388888888888884E-2"/>
    <n v="6.9204977995476202E-3"/>
    <n v="0.125"/>
    <n v="20277777.777777776"/>
    <n v="0.26301369863013696"/>
    <n v="0.38356164383561642"/>
    <n v="13333333.333333334"/>
    <n v="0"/>
    <s v="Normal"/>
    <x v="3"/>
    <x v="1"/>
  </r>
  <r>
    <n v="1614230"/>
    <x v="1"/>
    <x v="1"/>
    <n v="8"/>
    <n v="1410"/>
    <n v="14"/>
    <x v="1"/>
    <n v="2010"/>
    <n v="20"/>
    <n v="189.57414245605469"/>
    <n v="34000000"/>
    <n v="15000000"/>
    <n v="30"/>
    <n v="8"/>
    <n v="4"/>
    <n v="12000000"/>
    <n v="30000000"/>
    <n v="25000000"/>
    <x v="1"/>
    <s v="Not asked (survey skip: screener employment &lt;20)"/>
    <x v="0"/>
    <x v="0"/>
    <n v="50"/>
    <n v="0"/>
    <n v="20"/>
    <s v="Yes"/>
    <n v="550000"/>
    <s v="No"/>
    <s v="No"/>
    <s v="Yes"/>
    <n v="3"/>
    <s v="Moderate obstacle"/>
    <s v="Very severe obstacle"/>
    <s v="No obstacle"/>
    <s v="Very severe obstacle"/>
    <x v="3"/>
    <s v="Are estimates computed with some precision"/>
    <n v="14"/>
    <n v="550000"/>
    <n v="3"/>
    <x v="1"/>
    <n v="1.2666666666666666"/>
    <n v="0.50554530541816201"/>
    <n v="1"/>
    <n v="4250000"/>
    <n v="0.35294117647058826"/>
    <n v="0.88235294117647056"/>
    <n v="3125000"/>
    <n v="1.6176470588235296E-2"/>
    <s v="Normal"/>
    <x v="1"/>
    <x v="2"/>
  </r>
  <r>
    <n v="1614231"/>
    <x v="0"/>
    <x v="2"/>
    <n v="120"/>
    <n v="1071"/>
    <n v="10"/>
    <x v="0"/>
    <n v="2002"/>
    <n v="20"/>
    <n v="1.356840968132019"/>
    <n v="700000000"/>
    <n v="600000000"/>
    <n v="70"/>
    <n v="128"/>
    <n v="128"/>
    <n v="460800000"/>
    <n v="300000000"/>
    <n v="1000000000"/>
    <x v="1"/>
    <s v="Yes"/>
    <x v="1"/>
    <x v="0"/>
    <n v="80"/>
    <n v="0"/>
    <n v="20"/>
    <s v="No"/>
    <m/>
    <s v="No"/>
    <s v="No"/>
    <s v="Yes"/>
    <n v="2"/>
    <s v="Very severe obstacle"/>
    <s v="No obstacle"/>
    <s v="No obstacle"/>
    <s v="Very severe obstacle"/>
    <x v="5"/>
    <s v="Are taken directly from establishment records"/>
    <n v="22"/>
    <n v="0"/>
    <n v="2"/>
    <x v="1"/>
    <n v="0.16666666666666674"/>
    <n v="8.012344973464347E-2"/>
    <n v="0"/>
    <n v="5468750"/>
    <n v="0.65828571428571425"/>
    <n v="0.42857142857142855"/>
    <n v="7812500"/>
    <n v="0"/>
    <s v="Normal"/>
    <x v="3"/>
    <x v="0"/>
  </r>
  <r>
    <n v="1614236"/>
    <x v="2"/>
    <x v="1"/>
    <n v="7"/>
    <n v="2511"/>
    <n v="25"/>
    <x v="6"/>
    <n v="2012"/>
    <n v="10"/>
    <n v="68.626060485839844"/>
    <n v="30000000"/>
    <n v="25000000"/>
    <n v="75"/>
    <n v="6"/>
    <n v="3"/>
    <n v="12000000"/>
    <n v="12000000"/>
    <n v="15000000"/>
    <x v="1"/>
    <s v="Not asked (survey skip: screener employment &lt;20)"/>
    <x v="1"/>
    <x v="0"/>
    <n v="30"/>
    <n v="0"/>
    <n v="25"/>
    <s v="Yes"/>
    <n v="1500000"/>
    <s v="Yes"/>
    <s v="No"/>
    <s v="Yes"/>
    <n v="15"/>
    <s v="Major obstacle"/>
    <s v="Major obstacle"/>
    <s v="Major obstacle"/>
    <s v="Major obstacle"/>
    <x v="0"/>
    <s v="Are in some case taken from books and in some case estimates"/>
    <n v="12"/>
    <n v="1500000"/>
    <n v="15"/>
    <x v="1"/>
    <n v="0.19999999999999996"/>
    <n v="9.5445115010332149E-2"/>
    <n v="1"/>
    <n v="5000000"/>
    <n v="0.4"/>
    <n v="0.4"/>
    <n v="2500000"/>
    <n v="0.05"/>
    <s v="Normal"/>
    <x v="1"/>
    <x v="0"/>
  </r>
  <r>
    <n v="1614238"/>
    <x v="1"/>
    <x v="0"/>
    <n v="800"/>
    <n v="1410"/>
    <n v="14"/>
    <x v="1"/>
    <n v="2014"/>
    <n v="40"/>
    <n v="1"/>
    <n v="26310000000"/>
    <n v="22700000000"/>
    <n v="87"/>
    <n v="800"/>
    <n v="800"/>
    <n v="2000000000"/>
    <n v="1500000000"/>
    <n v="27000000000"/>
    <x v="8"/>
    <s v="Yes"/>
    <x v="1"/>
    <x v="1"/>
    <n v="80"/>
    <n v="0"/>
    <n v="0"/>
    <s v="No"/>
    <m/>
    <s v="No"/>
    <s v="No"/>
    <s v="Yes"/>
    <n v="25"/>
    <s v="Moderate obstacle"/>
    <s v="Minor obstacle"/>
    <s v="Major obstacle"/>
    <s v="Major obstacle"/>
    <x v="10"/>
    <s v="Are taken directly from establishment records"/>
    <n v="10"/>
    <n v="0"/>
    <n v="25"/>
    <x v="0"/>
    <n v="0.15903083700440535"/>
    <n v="7.6582944786143914E-2"/>
    <n v="0"/>
    <n v="32887500"/>
    <n v="7.6016723679209419E-2"/>
    <n v="5.7012542759407071E-2"/>
    <n v="33750000"/>
    <n v="0"/>
    <s v="Review"/>
    <x v="1"/>
    <x v="0"/>
  </r>
  <r>
    <n v="1614246"/>
    <x v="0"/>
    <x v="1"/>
    <n v="15"/>
    <n v="3100"/>
    <n v="31"/>
    <x v="3"/>
    <n v="1986"/>
    <n v="15"/>
    <n v="61.413673400878906"/>
    <n v="45000000"/>
    <n v="33000000"/>
    <n v="70"/>
    <n v="10"/>
    <n v="10"/>
    <n v="15000000"/>
    <n v="20000000"/>
    <n v="100000000"/>
    <x v="1"/>
    <s v="Not asked (survey skip: screener employment &lt;20)"/>
    <x v="0"/>
    <x v="0"/>
    <n v="100"/>
    <n v="0"/>
    <n v="0"/>
    <s v="Yes"/>
    <n v="15000000"/>
    <s v="Yes"/>
    <s v="Yes"/>
    <s v="Yes"/>
    <n v="3"/>
    <s v="Major obstacle"/>
    <s v="Major obstacle"/>
    <s v="Moderate obstacle"/>
    <s v="Major obstacle"/>
    <x v="1"/>
    <s v="Are in some case taken from books and in some case estimates"/>
    <n v="38"/>
    <n v="15000000"/>
    <n v="3"/>
    <x v="1"/>
    <n v="0.36363636363636354"/>
    <n v="0.16774841624228443"/>
    <n v="0"/>
    <n v="4500000"/>
    <n v="0.33333333333333331"/>
    <n v="0.44444444444444442"/>
    <n v="10000000"/>
    <n v="0.33333333333333331"/>
    <s v="Normal"/>
    <x v="0"/>
    <x v="0"/>
  </r>
  <r>
    <n v="1614254"/>
    <x v="0"/>
    <x v="1"/>
    <n v="7"/>
    <n v="1410"/>
    <n v="14"/>
    <x v="1"/>
    <n v="1995"/>
    <n v="30"/>
    <n v="55.699169158935547"/>
    <n v="50000000"/>
    <n v="20000000"/>
    <n v="100"/>
    <n v="7"/>
    <n v="4"/>
    <n v="5000000"/>
    <n v="30000000"/>
    <n v="57000000"/>
    <x v="1"/>
    <s v="Not asked (survey skip: screener employment &lt;20)"/>
    <x v="0"/>
    <x v="0"/>
    <n v="70"/>
    <n v="0"/>
    <n v="0"/>
    <s v="No"/>
    <m/>
    <s v="Yes"/>
    <s v="No"/>
    <s v="Yes"/>
    <n v="7"/>
    <s v="No obstacle"/>
    <s v="No obstacle"/>
    <s v="No obstacle"/>
    <s v="Moderate obstacle"/>
    <x v="6"/>
    <s v="Are taken directly from establishment records"/>
    <n v="29"/>
    <n v="0"/>
    <n v="7"/>
    <x v="1"/>
    <n v="1.5"/>
    <n v="0.58113883008418976"/>
    <n v="0.75"/>
    <n v="7142857.1428571427"/>
    <n v="0.1"/>
    <n v="0.6"/>
    <n v="8142857.1428571427"/>
    <n v="0"/>
    <s v="Normal"/>
    <x v="3"/>
    <x v="2"/>
  </r>
  <r>
    <n v="1614255"/>
    <x v="0"/>
    <x v="2"/>
    <n v="25"/>
    <n v="1520"/>
    <n v="15"/>
    <x v="13"/>
    <n v="2003"/>
    <n v="25"/>
    <n v="1.1482189893722534"/>
    <n v="200000000"/>
    <n v="150000000"/>
    <n v="80"/>
    <n v="25"/>
    <n v="25"/>
    <n v="40000000"/>
    <n v="60000000"/>
    <n v="400000000"/>
    <x v="1"/>
    <s v="Yes"/>
    <x v="1"/>
    <x v="0"/>
    <n v="40"/>
    <n v="0"/>
    <n v="0"/>
    <s v="Yes"/>
    <m/>
    <s v="Yes"/>
    <s v="Yes"/>
    <s v="Yes"/>
    <n v="2"/>
    <s v="Moderate obstacle"/>
    <s v="Major obstacle"/>
    <s v="No obstacle"/>
    <s v="Major obstacle"/>
    <x v="3"/>
    <s v="Are in some case taken from books and in some case estimates"/>
    <n v="21"/>
    <n v="0"/>
    <n v="2"/>
    <x v="1"/>
    <n v="0.33333333333333326"/>
    <n v="0.15470053837925146"/>
    <n v="0"/>
    <n v="8000000"/>
    <n v="0.2"/>
    <n v="0.3"/>
    <n v="16000000"/>
    <n v="0"/>
    <s v="Normal"/>
    <x v="3"/>
    <x v="0"/>
  </r>
  <r>
    <n v="1614256"/>
    <x v="0"/>
    <x v="0"/>
    <n v="262"/>
    <n v="2599"/>
    <n v="25"/>
    <x v="6"/>
    <n v="1983"/>
    <n v="1"/>
    <n v="1"/>
    <n v="18000000"/>
    <n v="4000000"/>
    <n v="80"/>
    <n v="262"/>
    <n v="262"/>
    <m/>
    <n v="14000000"/>
    <n v="10000000"/>
    <x v="1"/>
    <s v="Yes"/>
    <x v="1"/>
    <x v="0"/>
    <n v="0"/>
    <n v="0"/>
    <n v="0"/>
    <s v="No"/>
    <m/>
    <s v="No"/>
    <s v="No"/>
    <s v="Yes"/>
    <n v="10"/>
    <s v="Moderate obstacle"/>
    <s v="Moderate obstacle"/>
    <s v="No obstacle"/>
    <s v="Minor obstacle"/>
    <x v="0"/>
    <s v="Are in some case taken from books and in some case estimates"/>
    <n v="41"/>
    <n v="0"/>
    <n v="10"/>
    <x v="1"/>
    <n v="3.5"/>
    <n v="1.1213203435596424"/>
    <n v="0"/>
    <n v="68702.290076335878"/>
    <s v=""/>
    <n v="0.77777777777777779"/>
    <n v="38167.938931297707"/>
    <n v="0"/>
    <s v="Normal"/>
    <x v="0"/>
    <x v="2"/>
  </r>
  <r>
    <n v="1614258"/>
    <x v="1"/>
    <x v="2"/>
    <n v="12"/>
    <n v="3220"/>
    <n v="32"/>
    <x v="14"/>
    <n v="2005"/>
    <n v="35"/>
    <n v="53.759540557861328"/>
    <n v="20000000"/>
    <n v="15000000"/>
    <n v="50"/>
    <n v="6"/>
    <n v="5"/>
    <n v="8000000"/>
    <n v="3000000"/>
    <n v="50000000"/>
    <x v="1"/>
    <s v="Not asked (survey skip: screener employment &lt;20)"/>
    <x v="0"/>
    <x v="1"/>
    <n v="90"/>
    <n v="0"/>
    <n v="0"/>
    <s v="No"/>
    <m/>
    <s v="No"/>
    <s v="No"/>
    <s v="Yes"/>
    <n v="5"/>
    <s v="Moderate obstacle"/>
    <s v="Very severe obstacle"/>
    <s v="Minor obstacle"/>
    <s v="No obstacle"/>
    <x v="3"/>
    <s v="Are estimates computed with some precision"/>
    <n v="19"/>
    <n v="0"/>
    <n v="5"/>
    <x v="1"/>
    <n v="0.33333333333333326"/>
    <n v="0.15470053837925146"/>
    <n v="0.19999999999999996"/>
    <n v="3333333.3333333335"/>
    <n v="0.4"/>
    <n v="0.15"/>
    <n v="8333333.333333333"/>
    <n v="0"/>
    <s v="Normal"/>
    <x v="1"/>
    <x v="0"/>
  </r>
  <r>
    <n v="1614260"/>
    <x v="0"/>
    <x v="1"/>
    <n v="8"/>
    <n v="1622"/>
    <n v="16"/>
    <x v="10"/>
    <n v="2012"/>
    <n v="20"/>
    <n v="72.491691589355469"/>
    <n v="40000000"/>
    <n v="30000000"/>
    <n v="40"/>
    <n v="8"/>
    <n v="8"/>
    <n v="19000000"/>
    <n v="15000000"/>
    <n v="10000000"/>
    <x v="1"/>
    <s v="Not asked (survey skip: screener employment &lt;20)"/>
    <x v="1"/>
    <x v="0"/>
    <n v="60"/>
    <n v="0"/>
    <n v="0"/>
    <s v="No"/>
    <m/>
    <s v="Yes"/>
    <s v="Yes"/>
    <s v="Yes"/>
    <n v="10"/>
    <s v="Very severe obstacle"/>
    <s v="Moderate obstacle"/>
    <s v="Minor obstacle"/>
    <s v="Major obstacle"/>
    <x v="1"/>
    <s v="Are in some case taken from books and in some case estimates"/>
    <n v="12"/>
    <n v="0"/>
    <n v="10"/>
    <x v="1"/>
    <n v="0.33333333333333326"/>
    <n v="0.15470053837925146"/>
    <n v="0"/>
    <n v="5000000"/>
    <n v="0.47499999999999998"/>
    <n v="0.375"/>
    <n v="1250000"/>
    <n v="0"/>
    <s v="Normal"/>
    <x v="1"/>
    <x v="0"/>
  </r>
  <r>
    <n v="1614261"/>
    <x v="0"/>
    <x v="2"/>
    <n v="6"/>
    <n v="1061"/>
    <n v="10"/>
    <x v="0"/>
    <n v="2009"/>
    <n v="16"/>
    <n v="1.4072496891021729"/>
    <n v="38000000"/>
    <n v="42000000"/>
    <n v="55"/>
    <n v="6"/>
    <n v="6"/>
    <n v="18000000"/>
    <n v="27000000"/>
    <n v="20000000"/>
    <x v="1"/>
    <s v="Not asked (survey skip: screener employment &lt;20)"/>
    <x v="0"/>
    <x v="0"/>
    <n v="80"/>
    <n v="0"/>
    <n v="0"/>
    <s v="No"/>
    <m/>
    <s v="No"/>
    <s v="No"/>
    <s v="Yes"/>
    <n v="5"/>
    <s v="Major obstacle"/>
    <s v="Minor obstacle"/>
    <s v="No obstacle"/>
    <s v="Minor obstacle"/>
    <x v="1"/>
    <s v="Are estimates computed with some precision"/>
    <n v="15"/>
    <n v="0"/>
    <n v="5"/>
    <x v="1"/>
    <n v="-9.5238095238095233E-2"/>
    <n v="-4.8810268788658129E-2"/>
    <n v="0"/>
    <n v="6333333.333333333"/>
    <n v="0.47368421052631576"/>
    <n v="0.71052631578947367"/>
    <n v="3333333.3333333335"/>
    <n v="0"/>
    <s v="Normal"/>
    <x v="1"/>
    <x v="1"/>
  </r>
  <r>
    <n v="1614267"/>
    <x v="3"/>
    <x v="2"/>
    <n v="16"/>
    <n v="1040"/>
    <n v="10"/>
    <x v="0"/>
    <n v="2015"/>
    <n v="10"/>
    <n v="24.621110916137695"/>
    <n v="120000000"/>
    <n v="100000000"/>
    <n v="80"/>
    <n v="16"/>
    <n v="5"/>
    <n v="50000000"/>
    <n v="60000000"/>
    <n v="150000000"/>
    <x v="1"/>
    <s v="Not asked (survey skip: screener employment &lt;20)"/>
    <x v="0"/>
    <x v="0"/>
    <n v="20"/>
    <n v="0"/>
    <n v="20"/>
    <s v="No"/>
    <m/>
    <s v="No"/>
    <s v="No"/>
    <s v="Yes"/>
    <n v="1"/>
    <s v="Minor obstacle"/>
    <s v="Minor obstacle"/>
    <s v="Minor obstacle"/>
    <s v="Major obstacle"/>
    <x v="0"/>
    <s v="Are in some case taken from books and in some case estimates"/>
    <n v="9"/>
    <n v="0"/>
    <n v="1"/>
    <x v="1"/>
    <n v="0.19999999999999996"/>
    <n v="9.5445115010332149E-2"/>
    <n v="2.2000000000000002"/>
    <n v="7500000"/>
    <n v="0.41666666666666669"/>
    <n v="0.5"/>
    <n v="9375000"/>
    <n v="0"/>
    <s v="Normal"/>
    <x v="2"/>
    <x v="0"/>
  </r>
  <r>
    <n v="1614268"/>
    <x v="1"/>
    <x v="0"/>
    <n v="250"/>
    <n v="2392"/>
    <n v="23"/>
    <x v="8"/>
    <n v="2000"/>
    <n v="30"/>
    <n v="1"/>
    <n v="8000000000"/>
    <n v="2000000000"/>
    <n v="80"/>
    <n v="350"/>
    <n v="150"/>
    <n v="500000000"/>
    <n v="2000000000"/>
    <n v="30000000000"/>
    <x v="1"/>
    <s v="Yes"/>
    <x v="1"/>
    <x v="0"/>
    <n v="50"/>
    <n v="0"/>
    <n v="50"/>
    <s v="No"/>
    <m/>
    <s v="No"/>
    <s v="No"/>
    <s v="Yes"/>
    <n v="4"/>
    <s v="Minor obstacle"/>
    <s v="No obstacle"/>
    <s v="No obstacle"/>
    <s v="Major obstacle"/>
    <x v="5"/>
    <s v="Are in some case taken from books and in some case estimates"/>
    <n v="24"/>
    <n v="0"/>
    <n v="4"/>
    <x v="1"/>
    <n v="3"/>
    <n v="1"/>
    <n v="1.3333333333333335"/>
    <n v="22857142.857142858"/>
    <n v="6.25E-2"/>
    <n v="0.25"/>
    <n v="85714285.714285716"/>
    <n v="0"/>
    <s v="Review"/>
    <x v="3"/>
    <x v="2"/>
  </r>
  <r>
    <n v="1614271"/>
    <x v="3"/>
    <x v="1"/>
    <n v="40"/>
    <n v="1061"/>
    <n v="10"/>
    <x v="0"/>
    <n v="2009"/>
    <n v="10"/>
    <n v="2.1008388996124268"/>
    <n v="150000000"/>
    <n v="100000000"/>
    <n v="100"/>
    <n v="40"/>
    <n v="10"/>
    <n v="48000000"/>
    <n v="24000000"/>
    <n v="10000000"/>
    <x v="1"/>
    <s v="Yes"/>
    <x v="0"/>
    <x v="0"/>
    <n v="80"/>
    <n v="20"/>
    <n v="0"/>
    <s v="No"/>
    <m/>
    <s v="Yes"/>
    <s v="Yes"/>
    <s v="Yes"/>
    <n v="2"/>
    <s v="Major obstacle"/>
    <s v="Major obstacle"/>
    <s v="Minor obstacle"/>
    <s v="Major obstacle"/>
    <x v="1"/>
    <s v="Are estimates computed with some precision"/>
    <n v="15"/>
    <n v="0"/>
    <n v="2"/>
    <x v="1"/>
    <n v="0.5"/>
    <n v="0.22474487139158894"/>
    <n v="3"/>
    <n v="3750000"/>
    <n v="0.32"/>
    <n v="0.16"/>
    <n v="250000"/>
    <n v="0"/>
    <s v="Normal"/>
    <x v="1"/>
    <x v="0"/>
  </r>
  <r>
    <n v="1614276"/>
    <x v="0"/>
    <x v="2"/>
    <n v="30"/>
    <n v="1101"/>
    <n v="11"/>
    <x v="11"/>
    <n v="2004"/>
    <n v="8"/>
    <n v="1.3494371175765991"/>
    <n v="1000000000"/>
    <n v="900000000"/>
    <n v="90"/>
    <n v="26"/>
    <n v="26"/>
    <n v="180000000"/>
    <n v="150000000"/>
    <n v="200000000"/>
    <x v="1"/>
    <s v="Yes"/>
    <x v="0"/>
    <x v="1"/>
    <n v="100"/>
    <n v="0"/>
    <n v="0"/>
    <s v="No"/>
    <m/>
    <s v="No"/>
    <s v="No"/>
    <s v="Yes"/>
    <n v="12"/>
    <s v="Moderate obstacle"/>
    <s v="No obstacle"/>
    <s v="No obstacle"/>
    <s v="No obstacle"/>
    <x v="1"/>
    <s v="Are taken directly from establishment records"/>
    <n v="20"/>
    <n v="0"/>
    <n v="12"/>
    <x v="1"/>
    <n v="0.11111111111111116"/>
    <n v="5.4092553389459841E-2"/>
    <n v="0"/>
    <n v="38461538.461538464"/>
    <n v="0.18"/>
    <n v="0.15"/>
    <n v="7692307.692307692"/>
    <n v="0"/>
    <s v="Normal"/>
    <x v="3"/>
    <x v="0"/>
  </r>
  <r>
    <n v="1614277"/>
    <x v="1"/>
    <x v="2"/>
    <n v="115"/>
    <n v="1410"/>
    <n v="14"/>
    <x v="1"/>
    <n v="1991"/>
    <n v="35"/>
    <n v="42.939556121826172"/>
    <n v="2115600000"/>
    <n v="2227885000"/>
    <n v="100"/>
    <n v="115"/>
    <n v="35"/>
    <n v="170000000"/>
    <n v="1370000000"/>
    <n v="3000000000"/>
    <x v="1"/>
    <s v="Yes"/>
    <x v="1"/>
    <x v="0"/>
    <n v="50"/>
    <n v="0"/>
    <n v="0"/>
    <s v="No"/>
    <m/>
    <s v="Yes"/>
    <s v="No"/>
    <s v="Yes"/>
    <n v="7"/>
    <s v="Major obstacle"/>
    <s v="Major obstacle"/>
    <s v="Minor obstacle"/>
    <s v="Minor obstacle"/>
    <x v="3"/>
    <s v="Are taken directly from establishment records"/>
    <n v="33"/>
    <n v="0"/>
    <n v="7"/>
    <x v="1"/>
    <n v="-5.0399818662094309E-2"/>
    <n v="-2.5525689749644753E-2"/>
    <n v="2.2857142857142856"/>
    <n v="18396521.739130434"/>
    <n v="8.0355454717337876E-2"/>
    <n v="0.64757042919266405"/>
    <n v="26086956.521739129"/>
    <n v="0"/>
    <s v="Normal"/>
    <x v="0"/>
    <x v="1"/>
  </r>
  <r>
    <n v="1614280"/>
    <x v="0"/>
    <x v="2"/>
    <n v="5"/>
    <n v="1061"/>
    <n v="10"/>
    <x v="0"/>
    <n v="1987"/>
    <n v="25"/>
    <n v="1.4072496891021729"/>
    <n v="42000000"/>
    <n v="38000000"/>
    <n v="42"/>
    <n v="5"/>
    <n v="5"/>
    <n v="18000000"/>
    <n v="23000000"/>
    <n v="15420000"/>
    <x v="1"/>
    <s v="Not asked (survey skip: screener employment &lt;20)"/>
    <x v="0"/>
    <x v="0"/>
    <n v="95"/>
    <n v="0"/>
    <n v="0"/>
    <s v="No"/>
    <m/>
    <s v="No"/>
    <s v="No"/>
    <s v="Yes"/>
    <n v="5"/>
    <s v="Moderate obstacle"/>
    <s v="Very severe obstacle"/>
    <s v="Minor obstacle"/>
    <s v="Very severe obstacle"/>
    <x v="3"/>
    <s v="Are estimates computed with some precision"/>
    <n v="37"/>
    <n v="0"/>
    <n v="5"/>
    <x v="1"/>
    <n v="0.10526315789473695"/>
    <n v="5.1314966075693746E-2"/>
    <n v="0"/>
    <n v="8400000"/>
    <n v="0.42857142857142855"/>
    <n v="0.54761904761904767"/>
    <n v="3084000"/>
    <n v="0"/>
    <s v="Normal"/>
    <x v="0"/>
    <x v="0"/>
  </r>
  <r>
    <n v="1614283"/>
    <x v="1"/>
    <x v="0"/>
    <n v="200"/>
    <n v="1101"/>
    <n v="11"/>
    <x v="11"/>
    <n v="2000"/>
    <n v="25"/>
    <n v="1"/>
    <n v="700000000"/>
    <n v="650000000"/>
    <n v="90"/>
    <n v="180"/>
    <n v="50"/>
    <n v="200000000"/>
    <n v="400000000"/>
    <n v="1000000000"/>
    <x v="1"/>
    <s v="Yes"/>
    <x v="0"/>
    <x v="0"/>
    <n v="40"/>
    <n v="0"/>
    <n v="50"/>
    <s v="No"/>
    <m/>
    <s v="No"/>
    <s v="No"/>
    <s v="No"/>
    <m/>
    <s v="Minor obstacle"/>
    <s v="Minor obstacle"/>
    <s v="Minor obstacle"/>
    <s v="Minor obstacle"/>
    <x v="6"/>
    <s v="Are in some case taken from books and in some case estimates"/>
    <n v="24"/>
    <n v="0"/>
    <n v="0"/>
    <x v="1"/>
    <n v="7.6923076923076872E-2"/>
    <n v="3.7749043325541631E-2"/>
    <n v="2.6"/>
    <n v="3888888.888888889"/>
    <n v="0.2857142857142857"/>
    <n v="0.5714285714285714"/>
    <n v="5555555.555555556"/>
    <n v="0"/>
    <s v="Normal"/>
    <x v="3"/>
    <x v="1"/>
  </r>
  <r>
    <n v="1614286"/>
    <x v="1"/>
    <x v="0"/>
    <n v="50"/>
    <n v="1101"/>
    <n v="11"/>
    <x v="11"/>
    <n v="2013"/>
    <n v="15"/>
    <n v="1"/>
    <n v="3000000000"/>
    <n v="1500000000"/>
    <n v="45"/>
    <n v="50"/>
    <n v="45"/>
    <n v="500000000"/>
    <n v="300000000"/>
    <n v="1000000000"/>
    <x v="0"/>
    <s v="No"/>
    <x v="0"/>
    <x v="0"/>
    <n v="80"/>
    <n v="0"/>
    <n v="0"/>
    <s v="No"/>
    <m/>
    <s v="No"/>
    <s v="No"/>
    <s v="No"/>
    <m/>
    <s v="No obstacle"/>
    <s v="No obstacle"/>
    <s v="No obstacle"/>
    <s v="Moderate obstacle"/>
    <x v="9"/>
    <s v="Are estimates computed with some precision"/>
    <n v="11"/>
    <n v="0"/>
    <n v="0"/>
    <x v="0"/>
    <n v="1"/>
    <n v="0.41421356237309515"/>
    <n v="0.11111111111111116"/>
    <n v="60000000"/>
    <n v="0.16666666666666666"/>
    <n v="0.1"/>
    <n v="20000000"/>
    <n v="0"/>
    <s v="Normal"/>
    <x v="1"/>
    <x v="2"/>
  </r>
  <r>
    <n v="1614289"/>
    <x v="0"/>
    <x v="2"/>
    <n v="60"/>
    <n v="1079"/>
    <n v="10"/>
    <x v="0"/>
    <n v="1954"/>
    <n v="10"/>
    <n v="1.356840968132019"/>
    <n v="6000000000"/>
    <n v="5000000000"/>
    <n v="100"/>
    <n v="45"/>
    <n v="42"/>
    <n v="420000000"/>
    <n v="500000000"/>
    <n v="1000000"/>
    <x v="9"/>
    <s v="Yes"/>
    <x v="0"/>
    <x v="0"/>
    <n v="60"/>
    <n v="0"/>
    <n v="10"/>
    <s v="No"/>
    <m/>
    <s v="No"/>
    <s v="No"/>
    <s v="Yes"/>
    <n v="3"/>
    <s v="Major obstacle"/>
    <s v="Major obstacle"/>
    <s v="No obstacle"/>
    <s v="No obstacle"/>
    <x v="3"/>
    <s v="Are taken directly from establishment records"/>
    <n v="70"/>
    <n v="0"/>
    <n v="3"/>
    <x v="0"/>
    <n v="0.19999999999999996"/>
    <n v="9.5445115010332149E-2"/>
    <n v="7.1428571428571397E-2"/>
    <n v="133333333.33333333"/>
    <n v="7.0000000000000007E-2"/>
    <n v="8.3333333333333329E-2"/>
    <n v="22222.222222222223"/>
    <n v="0"/>
    <s v="Normal"/>
    <x v="0"/>
    <x v="0"/>
  </r>
  <r>
    <n v="1614293"/>
    <x v="2"/>
    <x v="0"/>
    <n v="100"/>
    <n v="1079"/>
    <n v="10"/>
    <x v="0"/>
    <n v="1994"/>
    <n v="5"/>
    <n v="1.3089461326599121"/>
    <n v="36000000000"/>
    <n v="30000000000"/>
    <n v="100"/>
    <n v="100"/>
    <n v="90"/>
    <n v="3000000000"/>
    <n v="1000000000"/>
    <n v="2000000000"/>
    <x v="6"/>
    <s v="Yes"/>
    <x v="0"/>
    <x v="0"/>
    <n v="60"/>
    <n v="20"/>
    <n v="20"/>
    <s v="Yes"/>
    <n v="5000000000"/>
    <s v="Yes"/>
    <s v="No"/>
    <s v="Yes"/>
    <n v="5"/>
    <s v="Minor obstacle"/>
    <s v="Minor obstacle"/>
    <s v="Minor obstacle"/>
    <s v="No obstacle"/>
    <x v="11"/>
    <s v="Are in some case taken from books and in some case estimates"/>
    <n v="30"/>
    <n v="5000000000"/>
    <n v="5"/>
    <x v="0"/>
    <n v="0.19999999999999996"/>
    <n v="9.5445115010332149E-2"/>
    <n v="0.11111111111111116"/>
    <n v="360000000"/>
    <n v="8.3333333333333329E-2"/>
    <n v="2.7777777777777776E-2"/>
    <n v="20000000"/>
    <n v="0.1388888888888889"/>
    <s v="Review"/>
    <x v="0"/>
    <x v="0"/>
  </r>
  <r>
    <n v="1614300"/>
    <x v="3"/>
    <x v="1"/>
    <n v="9"/>
    <n v="2511"/>
    <n v="25"/>
    <x v="6"/>
    <n v="2010"/>
    <n v="16"/>
    <n v="18.668731689453125"/>
    <n v="86500000"/>
    <n v="41300000"/>
    <n v="60"/>
    <n v="4"/>
    <n v="3"/>
    <n v="8530000"/>
    <n v="39540000"/>
    <n v="200570000"/>
    <x v="1"/>
    <s v="Not asked (survey skip: screener employment &lt;20)"/>
    <x v="0"/>
    <x v="0"/>
    <n v="70"/>
    <n v="0"/>
    <n v="10"/>
    <s v="No"/>
    <m/>
    <s v="No"/>
    <s v="No"/>
    <s v="Yes"/>
    <n v="7"/>
    <s v="Moderate obstacle"/>
    <s v="Minor obstacle"/>
    <s v="No obstacle"/>
    <s v="No obstacle"/>
    <x v="9"/>
    <s v="Are estimates computed with some precision"/>
    <n v="14"/>
    <n v="0"/>
    <n v="7"/>
    <x v="1"/>
    <n v="1.0944309927360774"/>
    <n v="0.44721490896690153"/>
    <n v="0.33333333333333326"/>
    <n v="21625000"/>
    <n v="9.8612716763005787E-2"/>
    <n v="0.45710982658959537"/>
    <n v="50142500"/>
    <n v="0"/>
    <s v="Normal"/>
    <x v="1"/>
    <x v="2"/>
  </r>
  <r>
    <n v="1614305"/>
    <x v="1"/>
    <x v="0"/>
    <n v="24"/>
    <n v="1071"/>
    <n v="10"/>
    <x v="0"/>
    <n v="2008"/>
    <m/>
    <n v="3.8174867630004883"/>
    <n v="650000000"/>
    <n v="430000000"/>
    <n v="100"/>
    <n v="24"/>
    <n v="21"/>
    <n v="162500000"/>
    <n v="350000000"/>
    <m/>
    <x v="1"/>
    <s v="No"/>
    <x v="0"/>
    <x v="0"/>
    <n v="70"/>
    <n v="0"/>
    <n v="30"/>
    <s v="No"/>
    <m/>
    <s v="No"/>
    <s v="No"/>
    <s v="Yes"/>
    <n v="1"/>
    <s v="Minor obstacle"/>
    <s v="Minor obstacle"/>
    <s v="No obstacle"/>
    <s v="Moderate obstacle"/>
    <x v="5"/>
    <s v="Are in some case taken from books and in some case estimates"/>
    <n v="16"/>
    <n v="0"/>
    <n v="1"/>
    <x v="1"/>
    <n v="0.51162790697674421"/>
    <n v="0.22948278026849334"/>
    <n v="0.14285714285714279"/>
    <n v="27083333.333333332"/>
    <n v="0.25"/>
    <n v="0.53846153846153844"/>
    <s v=""/>
    <n v="0"/>
    <s v="Normal"/>
    <x v="1"/>
    <x v="0"/>
  </r>
  <r>
    <n v="1614307"/>
    <x v="1"/>
    <x v="2"/>
    <n v="5"/>
    <n v="3312"/>
    <n v="33"/>
    <x v="12"/>
    <n v="2002"/>
    <n v="40"/>
    <n v="416.63912963867188"/>
    <n v="600000000"/>
    <n v="700000000"/>
    <n v="70"/>
    <n v="4"/>
    <n v="6"/>
    <n v="50000000"/>
    <n v="200000000"/>
    <n v="500000000"/>
    <x v="1"/>
    <s v="Not asked (survey skip: screener employment &lt;20)"/>
    <x v="0"/>
    <x v="0"/>
    <n v="70"/>
    <n v="30"/>
    <n v="0"/>
    <s v="Yes"/>
    <n v="100000000"/>
    <s v="Yes"/>
    <s v="Yes"/>
    <s v="Yes"/>
    <n v="2"/>
    <s v="Minor obstacle"/>
    <s v="Minor obstacle"/>
    <s v="No obstacle"/>
    <s v="Minor obstacle"/>
    <x v="5"/>
    <s v="Are taken directly from establishment records"/>
    <n v="22"/>
    <n v="100000000"/>
    <n v="2"/>
    <x v="1"/>
    <n v="-0.1428571428571429"/>
    <n v="-7.4179900227448581E-2"/>
    <n v="-0.33333333333333337"/>
    <n v="150000000"/>
    <n v="8.3333333333333329E-2"/>
    <n v="0.33333333333333331"/>
    <n v="125000000"/>
    <n v="0.16666666666666666"/>
    <s v="Normal"/>
    <x v="3"/>
    <x v="1"/>
  </r>
  <r>
    <n v="1614309"/>
    <x v="2"/>
    <x v="1"/>
    <n v="9"/>
    <n v="1061"/>
    <n v="10"/>
    <x v="0"/>
    <n v="2002"/>
    <m/>
    <n v="11.033946990966797"/>
    <n v="48000000"/>
    <m/>
    <n v="80"/>
    <n v="9"/>
    <m/>
    <n v="24000000"/>
    <n v="10000000"/>
    <n v="50000000"/>
    <x v="1"/>
    <s v="Not asked (survey skip: screener employment &lt;20)"/>
    <x v="0"/>
    <x v="1"/>
    <n v="90"/>
    <n v="0"/>
    <n v="0"/>
    <s v="No"/>
    <m/>
    <s v="No"/>
    <s v="No"/>
    <s v="Yes"/>
    <n v="2"/>
    <s v="Minor obstacle"/>
    <s v="Minor obstacle"/>
    <s v="Minor obstacle"/>
    <s v="Minor obstacle"/>
    <x v="0"/>
    <s v="Are estimates computed with some precision"/>
    <n v="22"/>
    <n v="0"/>
    <n v="2"/>
    <x v="1"/>
    <s v=""/>
    <s v=""/>
    <s v=""/>
    <n v="5333333.333333333"/>
    <n v="0.5"/>
    <n v="0.20833333333333334"/>
    <n v="5555555.555555556"/>
    <n v="0"/>
    <s v="Normal"/>
    <x v="3"/>
    <x v="3"/>
  </r>
  <r>
    <n v="1614310"/>
    <x v="0"/>
    <x v="2"/>
    <n v="80"/>
    <n v="1511"/>
    <n v="15"/>
    <x v="13"/>
    <n v="1995"/>
    <n v="20"/>
    <n v="1.2895220518112183"/>
    <n v="5483616000"/>
    <n v="2000000000"/>
    <n v="30"/>
    <n v="200"/>
    <n v="150"/>
    <n v="300000000"/>
    <n v="500000000"/>
    <n v="300000000"/>
    <x v="10"/>
    <s v="No"/>
    <x v="0"/>
    <x v="0"/>
    <n v="0"/>
    <n v="0"/>
    <n v="0"/>
    <s v="No"/>
    <m/>
    <s v="Yes"/>
    <s v="No"/>
    <s v="Yes"/>
    <n v="5"/>
    <s v="Major obstacle"/>
    <s v="Moderate obstacle"/>
    <s v="Major obstacle"/>
    <s v="Very severe obstacle"/>
    <x v="2"/>
    <s v="Are in some case taken from books and in some case estimates"/>
    <n v="29"/>
    <n v="0"/>
    <n v="5"/>
    <x v="0"/>
    <n v="1.7418079999999998"/>
    <n v="0.65584057203584667"/>
    <n v="0.33333333333333326"/>
    <n v="27418080"/>
    <n v="5.4708425972934648E-2"/>
    <n v="9.1180709954891082E-2"/>
    <n v="1500000"/>
    <n v="0"/>
    <s v="Normal"/>
    <x v="3"/>
    <x v="2"/>
  </r>
  <r>
    <n v="1614312"/>
    <x v="0"/>
    <x v="1"/>
    <n v="13"/>
    <n v="1071"/>
    <n v="10"/>
    <x v="0"/>
    <n v="2010"/>
    <n v="15"/>
    <n v="7.8370919227600098"/>
    <n v="400000000"/>
    <n v="350000000"/>
    <n v="90"/>
    <n v="7"/>
    <n v="7"/>
    <n v="39000000"/>
    <n v="80000000"/>
    <n v="90000000"/>
    <x v="1"/>
    <s v="Not asked (survey skip: screener employment &lt;20)"/>
    <x v="1"/>
    <x v="0"/>
    <n v="80"/>
    <n v="0"/>
    <n v="0"/>
    <s v="No"/>
    <m/>
    <s v="No"/>
    <s v="No"/>
    <s v="Yes"/>
    <n v="5"/>
    <s v="Major obstacle"/>
    <s v="Major obstacle"/>
    <s v="Moderate obstacle"/>
    <s v="Major obstacle"/>
    <x v="1"/>
    <s v="Are taken directly from establishment records"/>
    <n v="14"/>
    <n v="0"/>
    <n v="5"/>
    <x v="1"/>
    <n v="0.14285714285714279"/>
    <n v="6.9044967649697586E-2"/>
    <n v="0"/>
    <n v="57142857.142857142"/>
    <n v="9.7500000000000003E-2"/>
    <n v="0.2"/>
    <n v="12857142.857142856"/>
    <n v="0"/>
    <s v="Normal"/>
    <x v="1"/>
    <x v="0"/>
  </r>
  <r>
    <n v="1614314"/>
    <x v="1"/>
    <x v="1"/>
    <n v="6"/>
    <n v="2591"/>
    <n v="25"/>
    <x v="6"/>
    <n v="2004"/>
    <n v="21"/>
    <n v="157.86735534667969"/>
    <n v="10000000"/>
    <n v="4000000"/>
    <n v="100"/>
    <n v="6"/>
    <n v="8"/>
    <n v="4000000"/>
    <m/>
    <n v="25000000"/>
    <x v="1"/>
    <s v="Not asked (survey skip: screener employment &lt;20)"/>
    <x v="1"/>
    <x v="1"/>
    <n v="68"/>
    <n v="0"/>
    <n v="0"/>
    <s v="Yes"/>
    <n v="15000000"/>
    <s v="No"/>
    <s v="Yes"/>
    <s v="Yes"/>
    <n v="8"/>
    <s v="Very severe obstacle"/>
    <s v="Major obstacle"/>
    <s v="Moderate obstacle"/>
    <s v="Moderate obstacle"/>
    <x v="3"/>
    <s v="Are taken directly from establishment records"/>
    <n v="20"/>
    <n v="15000000"/>
    <n v="8"/>
    <x v="1"/>
    <n v="1.5"/>
    <n v="0.58113883008418976"/>
    <n v="-0.25"/>
    <n v="1666666.6666666667"/>
    <n v="0.4"/>
    <s v=""/>
    <n v="4166666.6666666665"/>
    <n v="1.5"/>
    <s v="Normal"/>
    <x v="3"/>
    <x v="2"/>
  </r>
  <r>
    <n v="1614316"/>
    <x v="2"/>
    <x v="2"/>
    <n v="20"/>
    <n v="1050"/>
    <n v="10"/>
    <x v="0"/>
    <n v="2016"/>
    <m/>
    <n v="1.5243005752563477"/>
    <m/>
    <m/>
    <n v="80"/>
    <n v="15"/>
    <m/>
    <n v="142800000"/>
    <m/>
    <n v="500000000"/>
    <x v="1"/>
    <s v="Yes"/>
    <x v="1"/>
    <x v="1"/>
    <n v="100"/>
    <n v="0"/>
    <n v="0"/>
    <s v="Yes"/>
    <n v="6000000"/>
    <s v="No"/>
    <s v="No"/>
    <s v="Yes"/>
    <n v="4"/>
    <s v="Moderate obstacle"/>
    <s v="Minor obstacle"/>
    <s v="Minor obstacle"/>
    <s v="Major obstacle"/>
    <x v="3"/>
    <s v="Are estimates computed with some precision"/>
    <n v="8"/>
    <n v="6000000"/>
    <n v="4"/>
    <x v="1"/>
    <s v=""/>
    <s v=""/>
    <s v=""/>
    <s v=""/>
    <s v=""/>
    <s v=""/>
    <n v="33333333.333333332"/>
    <s v=""/>
    <s v="Normal"/>
    <x v="2"/>
    <x v="3"/>
  </r>
  <r>
    <n v="1614317"/>
    <x v="0"/>
    <x v="1"/>
    <n v="7"/>
    <n v="1062"/>
    <n v="10"/>
    <x v="0"/>
    <n v="2019"/>
    <n v="5"/>
    <n v="1.7984211444854736"/>
    <n v="24000000"/>
    <n v="20000000"/>
    <n v="70"/>
    <n v="7"/>
    <n v="4"/>
    <n v="10000000"/>
    <n v="5000000"/>
    <n v="15000000"/>
    <x v="1"/>
    <s v="Not asked (survey skip: screener employment &lt;20)"/>
    <x v="0"/>
    <x v="0"/>
    <n v="30"/>
    <n v="70"/>
    <n v="0"/>
    <s v="No"/>
    <m/>
    <s v="Yes"/>
    <s v="No"/>
    <s v="Yes"/>
    <n v="4"/>
    <s v="Major obstacle"/>
    <s v="Major obstacle"/>
    <s v="No obstacle"/>
    <s v="Major obstacle"/>
    <x v="1"/>
    <s v="Are taken directly from establishment records"/>
    <n v="5"/>
    <n v="0"/>
    <n v="4"/>
    <x v="1"/>
    <n v="0.19999999999999996"/>
    <n v="9.5445115010332149E-2"/>
    <n v="0.75"/>
    <n v="3428571.4285714286"/>
    <n v="0.41666666666666669"/>
    <n v="0.20833333333333334"/>
    <n v="2142857.1428571427"/>
    <n v="0"/>
    <s v="Normal"/>
    <x v="2"/>
    <x v="0"/>
  </r>
  <r>
    <n v="1614319"/>
    <x v="2"/>
    <x v="2"/>
    <n v="20"/>
    <n v="2022"/>
    <n v="20"/>
    <x v="7"/>
    <n v="2017"/>
    <n v="6"/>
    <n v="2.6198341846466064"/>
    <n v="210000000"/>
    <n v="180000000"/>
    <n v="40"/>
    <n v="10"/>
    <n v="5"/>
    <n v="50000000"/>
    <n v="150000000"/>
    <n v="100000000"/>
    <x v="1"/>
    <s v="Yes"/>
    <x v="1"/>
    <x v="1"/>
    <n v="20"/>
    <n v="20"/>
    <n v="10"/>
    <s v="Yes"/>
    <n v="0"/>
    <s v="Yes"/>
    <s v="Yes"/>
    <s v="Yes"/>
    <n v="3"/>
    <s v="Moderate obstacle"/>
    <s v="Major obstacle"/>
    <s v="Moderate obstacle"/>
    <s v="Very severe obstacle"/>
    <x v="5"/>
    <s v="Are estimates computed with some precision"/>
    <n v="7"/>
    <n v="0"/>
    <n v="3"/>
    <x v="1"/>
    <n v="0.16666666666666674"/>
    <n v="8.012344973464347E-2"/>
    <n v="1"/>
    <n v="21000000"/>
    <n v="0.23809523809523808"/>
    <n v="0.7142857142857143"/>
    <n v="10000000"/>
    <n v="0"/>
    <s v="Normal"/>
    <x v="2"/>
    <x v="0"/>
  </r>
  <r>
    <n v="1614321"/>
    <x v="0"/>
    <x v="2"/>
    <n v="150"/>
    <n v="1061"/>
    <n v="10"/>
    <x v="0"/>
    <n v="2005"/>
    <n v="20"/>
    <n v="1.6103764772415161"/>
    <n v="15000000000"/>
    <n v="25000000000"/>
    <n v="50"/>
    <n v="100"/>
    <n v="150"/>
    <n v="300000000"/>
    <n v="11000000000"/>
    <n v="80000000"/>
    <x v="1"/>
    <s v="Yes"/>
    <x v="0"/>
    <x v="0"/>
    <n v="100"/>
    <n v="0"/>
    <n v="0"/>
    <s v="No"/>
    <m/>
    <s v="Yes"/>
    <s v="No"/>
    <s v="Yes"/>
    <n v="1"/>
    <s v="No obstacle"/>
    <s v="Minor obstacle"/>
    <s v="No obstacle"/>
    <s v="Minor obstacle"/>
    <x v="4"/>
    <s v="Are in some case taken from books and in some case estimates"/>
    <n v="19"/>
    <n v="0"/>
    <n v="1"/>
    <x v="1"/>
    <n v="-0.4"/>
    <n v="-0.2254033307585166"/>
    <n v="-0.33333333333333337"/>
    <n v="150000000"/>
    <n v="0.02"/>
    <n v="0.73333333333333328"/>
    <n v="800000"/>
    <n v="0"/>
    <s v="Review"/>
    <x v="1"/>
    <x v="1"/>
  </r>
  <r>
    <n v="1614322"/>
    <x v="0"/>
    <x v="0"/>
    <n v="350"/>
    <n v="2394"/>
    <n v="23"/>
    <x v="8"/>
    <n v="2018"/>
    <n v="37"/>
    <n v="1"/>
    <n v="12000000000"/>
    <n v="10000000000"/>
    <n v="40"/>
    <n v="350"/>
    <n v="350"/>
    <n v="1000000000"/>
    <n v="2500000000"/>
    <n v="4000000000"/>
    <x v="1"/>
    <s v="Yes"/>
    <x v="0"/>
    <x v="0"/>
    <n v="100"/>
    <n v="0"/>
    <n v="0"/>
    <s v="No"/>
    <m/>
    <s v="No"/>
    <s v="No"/>
    <s v="Yes"/>
    <n v="4"/>
    <s v="Major obstacle"/>
    <s v="Minor obstacle"/>
    <s v="No obstacle"/>
    <s v="No obstacle"/>
    <x v="1"/>
    <s v="Are estimates computed with some precision"/>
    <n v="6"/>
    <n v="0"/>
    <n v="4"/>
    <x v="1"/>
    <n v="0.19999999999999996"/>
    <n v="9.5445115010332149E-2"/>
    <n v="0"/>
    <n v="34285714.285714284"/>
    <n v="8.3333333333333329E-2"/>
    <n v="0.20833333333333334"/>
    <n v="11428571.428571429"/>
    <n v="0"/>
    <s v="Review"/>
    <x v="2"/>
    <x v="0"/>
  </r>
  <r>
    <n v="1614327"/>
    <x v="1"/>
    <x v="2"/>
    <n v="10"/>
    <n v="1811"/>
    <n v="18"/>
    <x v="4"/>
    <n v="2000"/>
    <n v="20"/>
    <n v="48.349552154541016"/>
    <n v="30000000"/>
    <n v="8000000"/>
    <n v="89"/>
    <n v="8"/>
    <n v="2"/>
    <n v="15000000"/>
    <n v="6000000"/>
    <n v="50000000"/>
    <x v="1"/>
    <s v="Not asked (survey skip: screener employment &lt;20)"/>
    <x v="1"/>
    <x v="0"/>
    <n v="50"/>
    <n v="0"/>
    <n v="2"/>
    <s v="No"/>
    <m/>
    <s v="No"/>
    <s v="No"/>
    <s v="No"/>
    <m/>
    <s v="No obstacle"/>
    <s v="Minor obstacle"/>
    <s v="No obstacle"/>
    <s v="Minor obstacle"/>
    <x v="2"/>
    <s v="Are in some case taken from books and in some case estimates"/>
    <n v="24"/>
    <n v="0"/>
    <n v="0"/>
    <x v="1"/>
    <n v="2.75"/>
    <n v="0.93649167310370851"/>
    <n v="3"/>
    <n v="3750000"/>
    <n v="0.5"/>
    <n v="0.2"/>
    <n v="6250000"/>
    <n v="0"/>
    <s v="Normal"/>
    <x v="3"/>
    <x v="2"/>
  </r>
  <r>
    <n v="1614329"/>
    <x v="0"/>
    <x v="2"/>
    <n v="6"/>
    <n v="3100"/>
    <n v="31"/>
    <x v="3"/>
    <n v="2010"/>
    <n v="15"/>
    <n v="1.6637996435165405"/>
    <n v="250000000"/>
    <n v="230000000"/>
    <n v="90"/>
    <n v="5"/>
    <n v="5"/>
    <n v="25200000"/>
    <n v="30000000"/>
    <n v="60000000"/>
    <x v="1"/>
    <s v="Not asked (survey skip: screener employment &lt;20)"/>
    <x v="0"/>
    <x v="0"/>
    <n v="90"/>
    <n v="0"/>
    <n v="0"/>
    <s v="No"/>
    <m/>
    <s v="No"/>
    <s v="No"/>
    <s v="No"/>
    <m/>
    <s v="Moderate obstacle"/>
    <s v="Moderate obstacle"/>
    <s v="No obstacle"/>
    <s v="Major obstacle"/>
    <x v="5"/>
    <s v="Are taken directly from establishment records"/>
    <n v="14"/>
    <n v="0"/>
    <n v="0"/>
    <x v="1"/>
    <n v="8.6956521739130377E-2"/>
    <n v="4.2572070285373798E-2"/>
    <n v="0"/>
    <n v="50000000"/>
    <n v="0.1008"/>
    <n v="0.12"/>
    <n v="12000000"/>
    <n v="0"/>
    <s v="Normal"/>
    <x v="1"/>
    <x v="0"/>
  </r>
  <r>
    <n v="1614330"/>
    <x v="2"/>
    <x v="2"/>
    <n v="11"/>
    <n v="2511"/>
    <n v="25"/>
    <x v="6"/>
    <n v="2007"/>
    <n v="18"/>
    <n v="2.6198341846466064"/>
    <n v="650000000"/>
    <n v="470000000"/>
    <n v="90"/>
    <n v="7"/>
    <n v="7"/>
    <n v="85800000"/>
    <n v="50000000"/>
    <n v="70000000"/>
    <x v="1"/>
    <s v="Not asked (survey skip: screener employment &lt;20)"/>
    <x v="1"/>
    <x v="1"/>
    <n v="80"/>
    <n v="0"/>
    <n v="0"/>
    <s v="No"/>
    <m/>
    <s v="No"/>
    <s v="No"/>
    <s v="Yes"/>
    <n v="4"/>
    <s v="Very severe obstacle"/>
    <s v="Major obstacle"/>
    <s v="Moderate obstacle"/>
    <s v="Moderate obstacle"/>
    <x v="1"/>
    <s v="Are taken directly from establishment records"/>
    <n v="17"/>
    <n v="0"/>
    <n v="4"/>
    <x v="1"/>
    <n v="0.38297872340425543"/>
    <n v="0.17600115790940252"/>
    <n v="0"/>
    <n v="92857142.857142851"/>
    <n v="0.13200000000000001"/>
    <n v="7.6923076923076927E-2"/>
    <n v="10000000"/>
    <n v="0"/>
    <s v="Normal"/>
    <x v="1"/>
    <x v="0"/>
  </r>
  <r>
    <n v="1614332"/>
    <x v="1"/>
    <x v="0"/>
    <n v="51"/>
    <n v="2720"/>
    <n v="27"/>
    <x v="15"/>
    <n v="1967"/>
    <n v="28"/>
    <n v="1.5749640464782715"/>
    <n v="500000000"/>
    <n v="300000000"/>
    <n v="95"/>
    <n v="51"/>
    <n v="15"/>
    <n v="150000000"/>
    <n v="250000000"/>
    <n v="700000000"/>
    <x v="1"/>
    <s v="Yes"/>
    <x v="0"/>
    <x v="0"/>
    <n v="50"/>
    <n v="0"/>
    <n v="35"/>
    <s v="No"/>
    <m/>
    <s v="No"/>
    <s v="No"/>
    <s v="Yes"/>
    <n v="2"/>
    <s v="Minor obstacle"/>
    <s v="Minor obstacle"/>
    <s v="Minor obstacle"/>
    <s v="No obstacle"/>
    <x v="0"/>
    <s v="Are in some case taken from books and in some case estimates"/>
    <n v="57"/>
    <n v="0"/>
    <n v="2"/>
    <x v="1"/>
    <n v="0.66666666666666674"/>
    <n v="0.2909944487358056"/>
    <n v="2.4"/>
    <n v="9803921.5686274506"/>
    <n v="0.3"/>
    <n v="0.5"/>
    <n v="13725490.196078431"/>
    <n v="0"/>
    <s v="Normal"/>
    <x v="0"/>
    <x v="2"/>
  </r>
  <r>
    <n v="1614337"/>
    <x v="1"/>
    <x v="0"/>
    <n v="1500"/>
    <n v="1410"/>
    <n v="14"/>
    <x v="1"/>
    <n v="2015"/>
    <n v="8"/>
    <n v="1.5749640464782715"/>
    <n v="32000000000"/>
    <n v="30000000000"/>
    <n v="76"/>
    <n v="1500"/>
    <n v="1350"/>
    <n v="300000000"/>
    <n v="21000000000"/>
    <n v="55000000000"/>
    <x v="5"/>
    <s v="Yes"/>
    <x v="1"/>
    <x v="0"/>
    <n v="40"/>
    <n v="20"/>
    <n v="10"/>
    <s v="No"/>
    <m/>
    <s v="Yes"/>
    <s v="No"/>
    <s v="Yes"/>
    <n v="5"/>
    <s v="Very severe obstacle"/>
    <s v="Major obstacle"/>
    <s v="Minor obstacle"/>
    <s v="No obstacle"/>
    <x v="1"/>
    <s v="Are in some case taken from books and in some case estimates"/>
    <n v="9"/>
    <n v="0"/>
    <n v="5"/>
    <x v="0"/>
    <n v="6.6666666666666652E-2"/>
    <n v="3.2795558988644391E-2"/>
    <n v="0.11111111111111116"/>
    <n v="21333333.333333332"/>
    <n v="9.3749999999999997E-3"/>
    <n v="0.65625"/>
    <n v="36666666.666666664"/>
    <n v="0"/>
    <s v="Review"/>
    <x v="2"/>
    <x v="1"/>
  </r>
  <r>
    <n v="1614340"/>
    <x v="0"/>
    <x v="2"/>
    <n v="40"/>
    <n v="1079"/>
    <n v="10"/>
    <x v="0"/>
    <n v="1988"/>
    <n v="39"/>
    <n v="1.6103764772415161"/>
    <n v="120000000"/>
    <n v="90000000"/>
    <n v="60"/>
    <n v="30"/>
    <n v="25"/>
    <n v="36000000"/>
    <n v="31000000"/>
    <n v="200000000"/>
    <x v="1"/>
    <s v="Yes"/>
    <x v="0"/>
    <x v="0"/>
    <n v="80"/>
    <n v="20"/>
    <n v="0"/>
    <s v="Yes"/>
    <n v="20000000"/>
    <s v="Yes"/>
    <s v="No"/>
    <s v="Yes"/>
    <n v="4"/>
    <s v="Very severe obstacle"/>
    <s v="Major obstacle"/>
    <s v="Minor obstacle"/>
    <s v="Major obstacle"/>
    <x v="5"/>
    <s v="Are taken directly from establishment records"/>
    <n v="36"/>
    <n v="20000000"/>
    <n v="4"/>
    <x v="1"/>
    <n v="0.33333333333333326"/>
    <n v="0.15470053837925146"/>
    <n v="0.19999999999999996"/>
    <n v="4000000"/>
    <n v="0.3"/>
    <n v="0.25833333333333336"/>
    <n v="6666666.666666667"/>
    <n v="0.16666666666666666"/>
    <s v="Normal"/>
    <x v="0"/>
    <x v="0"/>
  </r>
  <r>
    <n v="1614341"/>
    <x v="1"/>
    <x v="0"/>
    <n v="43"/>
    <n v="2220"/>
    <n v="22"/>
    <x v="16"/>
    <n v="1997"/>
    <n v="27"/>
    <n v="1.5749640464782715"/>
    <n v="650000000"/>
    <n v="450000000"/>
    <n v="95"/>
    <n v="35"/>
    <n v="20"/>
    <n v="25000000"/>
    <n v="300000000"/>
    <n v="180000000"/>
    <x v="6"/>
    <s v="Yes"/>
    <x v="0"/>
    <x v="1"/>
    <n v="60"/>
    <n v="40"/>
    <n v="0"/>
    <s v="Yes"/>
    <n v="180000000"/>
    <s v="Yes"/>
    <s v="No"/>
    <s v="Yes"/>
    <n v="9"/>
    <s v="No obstacle"/>
    <s v="No obstacle"/>
    <s v="No obstacle"/>
    <s v="Moderate obstacle"/>
    <x v="9"/>
    <s v="Are taken directly from establishment records"/>
    <n v="27"/>
    <n v="180000000"/>
    <n v="9"/>
    <x v="0"/>
    <n v="0.44444444444444442"/>
    <n v="0.20185042515466312"/>
    <n v="0.75"/>
    <n v="18571428.571428571"/>
    <n v="3.8461538461538464E-2"/>
    <n v="0.46153846153846156"/>
    <n v="5142857.1428571427"/>
    <n v="0.27692307692307694"/>
    <s v="Normal"/>
    <x v="3"/>
    <x v="0"/>
  </r>
  <r>
    <n v="1614342"/>
    <x v="2"/>
    <x v="2"/>
    <n v="150"/>
    <n v="1030"/>
    <n v="10"/>
    <x v="0"/>
    <n v="2008"/>
    <n v="17"/>
    <n v="2.6198341846466064"/>
    <n v="36000000000"/>
    <n v="35000000000"/>
    <n v="80"/>
    <n v="45"/>
    <n v="45"/>
    <n v="900000000"/>
    <m/>
    <m/>
    <x v="1"/>
    <s v="Yes"/>
    <x v="1"/>
    <x v="0"/>
    <m/>
    <m/>
    <m/>
    <s v="No"/>
    <m/>
    <s v="Yes"/>
    <s v="No"/>
    <s v="Yes"/>
    <m/>
    <s v="No obstacle"/>
    <m/>
    <s v="Minor obstacle"/>
    <m/>
    <x v="1"/>
    <s v="Are in some case taken from books and in some case estimates"/>
    <n v="16"/>
    <n v="0"/>
    <n v="0"/>
    <x v="1"/>
    <n v="2.857142857142847E-2"/>
    <n v="1.4185105674219933E-2"/>
    <n v="0"/>
    <n v="800000000"/>
    <n v="2.5000000000000001E-2"/>
    <s v=""/>
    <s v=""/>
    <n v="0"/>
    <s v="Review"/>
    <x v="1"/>
    <x v="1"/>
  </r>
  <r>
    <n v="1614344"/>
    <x v="1"/>
    <x v="2"/>
    <n v="15"/>
    <n v="1080"/>
    <n v="10"/>
    <x v="0"/>
    <n v="2013"/>
    <n v="20"/>
    <n v="23.458492279052734"/>
    <n v="80000000"/>
    <n v="65000000"/>
    <n v="75"/>
    <n v="15"/>
    <n v="5"/>
    <n v="25000000"/>
    <n v="40000000"/>
    <n v="200000000"/>
    <x v="1"/>
    <s v="Not asked (survey skip: screener employment &lt;20)"/>
    <x v="0"/>
    <x v="0"/>
    <n v="70"/>
    <n v="0"/>
    <n v="30"/>
    <s v="No"/>
    <m/>
    <s v="No"/>
    <s v="No"/>
    <s v="Yes"/>
    <n v="3"/>
    <s v="Minor obstacle"/>
    <s v="No obstacle"/>
    <s v="No obstacle"/>
    <s v="Minor obstacle"/>
    <x v="0"/>
    <s v="Are in some case taken from books and in some case estimates"/>
    <n v="11"/>
    <n v="0"/>
    <n v="3"/>
    <x v="1"/>
    <n v="0.23076923076923084"/>
    <n v="0.10940039245045829"/>
    <n v="2"/>
    <n v="5333333.333333333"/>
    <n v="0.3125"/>
    <n v="0.5"/>
    <n v="13333333.333333334"/>
    <n v="0"/>
    <s v="Normal"/>
    <x v="1"/>
    <x v="0"/>
  </r>
  <r>
    <n v="1614346"/>
    <x v="2"/>
    <x v="0"/>
    <n v="520"/>
    <n v="1079"/>
    <n v="10"/>
    <x v="0"/>
    <n v="1969"/>
    <n v="15"/>
    <n v="1.3089461326599121"/>
    <n v="9400000000"/>
    <n v="21000000000"/>
    <n v="100"/>
    <n v="266"/>
    <n v="316"/>
    <n v="750000000"/>
    <n v="2600000000"/>
    <n v="15000000000"/>
    <x v="11"/>
    <s v="Yes"/>
    <x v="0"/>
    <x v="0"/>
    <n v="70"/>
    <n v="0"/>
    <n v="30"/>
    <s v="No"/>
    <m/>
    <s v="Yes"/>
    <s v="No"/>
    <s v="Yes"/>
    <n v="8"/>
    <s v="Very severe obstacle"/>
    <s v="Major obstacle"/>
    <s v="Minor obstacle"/>
    <m/>
    <x v="1"/>
    <s v="Are taken directly from establishment records"/>
    <n v="55"/>
    <n v="0"/>
    <n v="8"/>
    <x v="0"/>
    <n v="-0.55238095238095242"/>
    <n v="-0.33095661753586736"/>
    <n v="-0.15822784810126578"/>
    <n v="35338345.864661656"/>
    <n v="7.9787234042553196E-2"/>
    <n v="0.27659574468085107"/>
    <n v="56390977.443609022"/>
    <n v="0"/>
    <s v="Review"/>
    <x v="0"/>
    <x v="1"/>
  </r>
  <r>
    <n v="1614348"/>
    <x v="2"/>
    <x v="0"/>
    <n v="300"/>
    <n v="1050"/>
    <n v="10"/>
    <x v="0"/>
    <n v="2014"/>
    <n v="26"/>
    <n v="1.2616859674453735"/>
    <n v="82800000000"/>
    <m/>
    <n v="25"/>
    <n v="20"/>
    <n v="20"/>
    <m/>
    <n v="46800000000"/>
    <n v="50000000000"/>
    <x v="6"/>
    <s v="Yes"/>
    <x v="0"/>
    <x v="1"/>
    <n v="100"/>
    <n v="0"/>
    <n v="0"/>
    <s v="Yes"/>
    <n v="0"/>
    <s v="No"/>
    <s v="No"/>
    <s v="Yes"/>
    <n v="4"/>
    <s v="Minor obstacle"/>
    <s v="Minor obstacle"/>
    <s v="Moderate obstacle"/>
    <m/>
    <x v="0"/>
    <s v="Are estimates computed with some precision"/>
    <n v="10"/>
    <n v="0"/>
    <n v="4"/>
    <x v="0"/>
    <s v=""/>
    <s v=""/>
    <n v="0"/>
    <n v="4140000000"/>
    <s v=""/>
    <n v="0.56521739130434778"/>
    <n v="2500000000"/>
    <n v="0"/>
    <s v="Review"/>
    <x v="1"/>
    <x v="3"/>
  </r>
  <r>
    <n v="1614349"/>
    <x v="0"/>
    <x v="1"/>
    <n v="15"/>
    <n v="1629"/>
    <n v="16"/>
    <x v="10"/>
    <n v="2017"/>
    <n v="17"/>
    <n v="68.513816833496094"/>
    <n v="6000000"/>
    <n v="2000000"/>
    <n v="40"/>
    <n v="15"/>
    <n v="9"/>
    <n v="3000000"/>
    <n v="4000000"/>
    <n v="28000000"/>
    <x v="1"/>
    <s v="Not asked (survey skip: screener employment &lt;20)"/>
    <x v="0"/>
    <x v="1"/>
    <n v="100"/>
    <n v="0"/>
    <n v="0"/>
    <s v="No"/>
    <m/>
    <s v="No"/>
    <s v="No"/>
    <s v="Yes"/>
    <n v="10"/>
    <s v="Major obstacle"/>
    <s v="Moderate obstacle"/>
    <s v="No obstacle"/>
    <s v="Very severe obstacle"/>
    <x v="1"/>
    <s v="Are in some case taken from books and in some case estimates"/>
    <n v="7"/>
    <n v="0"/>
    <n v="10"/>
    <x v="1"/>
    <n v="2"/>
    <n v="0.73205080756887719"/>
    <n v="0.66666666666666674"/>
    <n v="400000"/>
    <n v="0.5"/>
    <n v="0.66666666666666663"/>
    <n v="1866666.6666666667"/>
    <n v="0"/>
    <s v="Normal"/>
    <x v="2"/>
    <x v="2"/>
  </r>
  <r>
    <n v="1614352"/>
    <x v="2"/>
    <x v="2"/>
    <n v="7"/>
    <n v="2511"/>
    <n v="25"/>
    <x v="6"/>
    <n v="2013"/>
    <n v="12"/>
    <n v="2.6198341846466064"/>
    <n v="575000000"/>
    <n v="300000000"/>
    <n v="90"/>
    <n v="9"/>
    <n v="9"/>
    <n v="42000000"/>
    <n v="45000000"/>
    <n v="30000000"/>
    <x v="1"/>
    <s v="Not asked (survey skip: screener employment &lt;20)"/>
    <x v="1"/>
    <x v="0"/>
    <n v="70"/>
    <n v="0"/>
    <n v="0"/>
    <s v="No"/>
    <m/>
    <s v="No"/>
    <s v="No"/>
    <s v="Yes"/>
    <n v="3"/>
    <s v="Very severe obstacle"/>
    <s v="Very severe obstacle"/>
    <s v="Moderate obstacle"/>
    <s v="Major obstacle"/>
    <x v="1"/>
    <s v="Are taken directly from establishment records"/>
    <n v="11"/>
    <n v="0"/>
    <n v="3"/>
    <x v="1"/>
    <n v="0.91666666666666674"/>
    <n v="0.38443731048634588"/>
    <n v="0"/>
    <n v="63888888.888888888"/>
    <n v="7.3043478260869571E-2"/>
    <n v="7.8260869565217397E-2"/>
    <n v="3333333.3333333335"/>
    <n v="0"/>
    <s v="Normal"/>
    <x v="1"/>
    <x v="2"/>
  </r>
  <r>
    <n v="1614354"/>
    <x v="0"/>
    <x v="2"/>
    <n v="140"/>
    <n v="2511"/>
    <n v="25"/>
    <x v="6"/>
    <n v="2010"/>
    <n v="25"/>
    <n v="1.6637996435165405"/>
    <n v="900000000"/>
    <n v="1100000000"/>
    <n v="60"/>
    <n v="140"/>
    <n v="132"/>
    <n v="300000000"/>
    <n v="500000000"/>
    <n v="150000000"/>
    <x v="1"/>
    <s v="Yes"/>
    <x v="0"/>
    <x v="0"/>
    <n v="98"/>
    <n v="0"/>
    <n v="2"/>
    <s v="No"/>
    <m/>
    <s v="No"/>
    <s v="No"/>
    <s v="Yes"/>
    <n v="8"/>
    <s v="Major obstacle"/>
    <s v="Moderate obstacle"/>
    <s v="No obstacle"/>
    <s v="Minor obstacle"/>
    <x v="1"/>
    <s v="Are in some case taken from books and in some case estimates"/>
    <n v="14"/>
    <n v="0"/>
    <n v="8"/>
    <x v="1"/>
    <n v="-0.18181818181818177"/>
    <n v="-9.5465966266709112E-2"/>
    <n v="6.0606060606060552E-2"/>
    <n v="6428571.4285714282"/>
    <n v="0.33333333333333331"/>
    <n v="0.55555555555555558"/>
    <n v="1071428.5714285714"/>
    <n v="0"/>
    <s v="Normal"/>
    <x v="1"/>
    <x v="1"/>
  </r>
  <r>
    <n v="1614355"/>
    <x v="3"/>
    <x v="2"/>
    <n v="15"/>
    <n v="2599"/>
    <n v="25"/>
    <x v="6"/>
    <n v="2013"/>
    <n v="12"/>
    <n v="2.6425690650939941"/>
    <n v="2700000000"/>
    <n v="1300000000"/>
    <n v="60"/>
    <n v="15"/>
    <n v="15"/>
    <n v="500000000"/>
    <n v="800000000"/>
    <n v="3000000000"/>
    <x v="1"/>
    <s v="Not asked (survey skip: screener employment &lt;20)"/>
    <x v="0"/>
    <x v="0"/>
    <n v="95"/>
    <n v="0"/>
    <n v="0"/>
    <s v="No"/>
    <m/>
    <s v="No"/>
    <s v="No"/>
    <s v="No"/>
    <m/>
    <s v="Moderate obstacle"/>
    <s v="No obstacle"/>
    <s v="No obstacle"/>
    <s v="No obstacle"/>
    <x v="1"/>
    <s v="Are in some case taken from books and in some case estimates"/>
    <n v="11"/>
    <n v="0"/>
    <n v="0"/>
    <x v="1"/>
    <n v="1.0769230769230771"/>
    <n v="0.44115338424578421"/>
    <n v="0"/>
    <n v="180000000"/>
    <n v="0.18518518518518517"/>
    <n v="0.29629629629629628"/>
    <n v="200000000"/>
    <n v="0"/>
    <s v="Normal"/>
    <x v="1"/>
    <x v="2"/>
  </r>
  <r>
    <n v="1614359"/>
    <x v="1"/>
    <x v="2"/>
    <n v="500"/>
    <n v="1072"/>
    <n v="10"/>
    <x v="0"/>
    <n v="2012"/>
    <n v="20"/>
    <n v="23.458492279052734"/>
    <n v="1200000000"/>
    <n v="950000000"/>
    <n v="35"/>
    <n v="205"/>
    <n v="200"/>
    <n v="300000000"/>
    <n v="100000000"/>
    <m/>
    <x v="1"/>
    <s v="Yes"/>
    <x v="1"/>
    <x v="0"/>
    <n v="90"/>
    <n v="5"/>
    <n v="0"/>
    <s v="No"/>
    <m/>
    <s v="No"/>
    <s v="No"/>
    <s v="Yes"/>
    <n v="5"/>
    <s v="Moderate obstacle"/>
    <s v="Major obstacle"/>
    <s v="Minor obstacle"/>
    <s v="Minor obstacle"/>
    <x v="3"/>
    <s v="Are in some case taken from books and in some case estimates"/>
    <n v="12"/>
    <n v="0"/>
    <n v="5"/>
    <x v="1"/>
    <n v="0.26315789473684204"/>
    <n v="0.12390297389803262"/>
    <n v="2.4999999999999911E-2"/>
    <n v="5853658.5365853654"/>
    <n v="0.25"/>
    <n v="8.3333333333333329E-2"/>
    <s v=""/>
    <n v="0"/>
    <s v="Normal"/>
    <x v="1"/>
    <x v="0"/>
  </r>
  <r>
    <n v="1614361"/>
    <x v="3"/>
    <x v="0"/>
    <n v="450"/>
    <n v="1040"/>
    <n v="10"/>
    <x v="0"/>
    <n v="2008"/>
    <n v="15"/>
    <n v="1"/>
    <n v="150000000000"/>
    <n v="120000000000"/>
    <n v="100"/>
    <n v="400"/>
    <n v="300"/>
    <n v="4300000000"/>
    <n v="10000000000"/>
    <n v="15000000000"/>
    <x v="8"/>
    <s v="Yes"/>
    <x v="1"/>
    <x v="0"/>
    <n v="10"/>
    <n v="60"/>
    <n v="30"/>
    <s v="No"/>
    <m/>
    <s v="Yes"/>
    <s v="Yes"/>
    <s v="Yes"/>
    <n v="4"/>
    <s v="Moderate obstacle"/>
    <s v="Minor obstacle"/>
    <s v="Minor obstacle"/>
    <s v="Major obstacle"/>
    <x v="6"/>
    <s v="Are in some case taken from books and in some case estimates"/>
    <n v="16"/>
    <n v="0"/>
    <n v="4"/>
    <x v="0"/>
    <n v="0.25"/>
    <n v="0.1180339887498949"/>
    <n v="0.33333333333333326"/>
    <n v="375000000"/>
    <n v="2.8666666666666667E-2"/>
    <n v="6.6666666666666666E-2"/>
    <n v="37500000"/>
    <n v="0"/>
    <s v="Review"/>
    <x v="1"/>
    <x v="0"/>
  </r>
  <r>
    <n v="1614365"/>
    <x v="1"/>
    <x v="0"/>
    <n v="272"/>
    <n v="1811"/>
    <n v="18"/>
    <x v="4"/>
    <n v="1986"/>
    <n v="18"/>
    <n v="2.0788314342498779"/>
    <n v="100000000000"/>
    <n v="95000000000"/>
    <n v="100"/>
    <n v="222"/>
    <n v="230"/>
    <n v="9466088000"/>
    <n v="13462091000"/>
    <n v="23246174000"/>
    <x v="1"/>
    <s v="Yes"/>
    <x v="1"/>
    <x v="1"/>
    <n v="93"/>
    <n v="7"/>
    <n v="0"/>
    <s v="No"/>
    <m/>
    <s v="No"/>
    <s v="Yes"/>
    <s v="Yes"/>
    <n v="2"/>
    <s v="No obstacle"/>
    <s v="No obstacle"/>
    <s v="No obstacle"/>
    <s v="Minor obstacle"/>
    <x v="5"/>
    <s v="Are taken directly from establishment records"/>
    <n v="38"/>
    <n v="0"/>
    <n v="2"/>
    <x v="1"/>
    <n v="5.2631578947368363E-2"/>
    <n v="2.5978352085153977E-2"/>
    <n v="-3.4782608695652195E-2"/>
    <n v="450450450.45045048"/>
    <n v="9.4660880000000003E-2"/>
    <n v="0.13462091000000001"/>
    <n v="104712495.4954955"/>
    <n v="0"/>
    <s v="Review"/>
    <x v="0"/>
    <x v="1"/>
  </r>
  <r>
    <n v="1614370"/>
    <x v="3"/>
    <x v="1"/>
    <n v="17"/>
    <n v="2511"/>
    <n v="25"/>
    <x v="6"/>
    <n v="2019"/>
    <n v="7"/>
    <n v="18.668731689453125"/>
    <n v="280000000"/>
    <n v="270000000"/>
    <n v="50"/>
    <n v="17"/>
    <n v="17"/>
    <n v="58000000"/>
    <n v="85000000"/>
    <n v="1000000000"/>
    <x v="1"/>
    <s v="Not asked (survey skip: screener employment &lt;20)"/>
    <x v="0"/>
    <x v="0"/>
    <n v="100"/>
    <n v="0"/>
    <n v="0"/>
    <s v="No"/>
    <m/>
    <s v="No"/>
    <s v="No"/>
    <s v="No"/>
    <m/>
    <s v="No obstacle"/>
    <s v="No obstacle"/>
    <s v="No obstacle"/>
    <s v="No obstacle"/>
    <x v="0"/>
    <s v="Are in some case taken from books and in some case estimates"/>
    <n v="5"/>
    <n v="0"/>
    <n v="0"/>
    <x v="1"/>
    <n v="3.7037037037036979E-2"/>
    <n v="1.8350154434631172E-2"/>
    <n v="0"/>
    <n v="16470588.235294119"/>
    <n v="0.20714285714285716"/>
    <n v="0.30357142857142855"/>
    <n v="58823529.411764704"/>
    <n v="0"/>
    <s v="Normal"/>
    <x v="2"/>
    <x v="1"/>
  </r>
  <r>
    <n v="1614372"/>
    <x v="1"/>
    <x v="0"/>
    <n v="200"/>
    <n v="2220"/>
    <n v="22"/>
    <x v="16"/>
    <n v="1996"/>
    <n v="15"/>
    <n v="1.5749640464782715"/>
    <n v="9600000000"/>
    <n v="8000000000"/>
    <m/>
    <n v="200"/>
    <n v="150"/>
    <n v="500000000"/>
    <n v="250000000"/>
    <n v="1000000000"/>
    <x v="4"/>
    <s v="No"/>
    <x v="0"/>
    <x v="0"/>
    <n v="0"/>
    <n v="0"/>
    <n v="0"/>
    <s v="No"/>
    <m/>
    <s v="No"/>
    <s v="No"/>
    <s v="No"/>
    <m/>
    <s v="Minor obstacle"/>
    <s v="No obstacle"/>
    <s v="No obstacle"/>
    <s v="No obstacle"/>
    <x v="12"/>
    <s v="Are estimates computed with some precision"/>
    <n v="28"/>
    <n v="0"/>
    <n v="0"/>
    <x v="0"/>
    <n v="0.19999999999999996"/>
    <n v="9.5445115010332149E-2"/>
    <n v="0.33333333333333326"/>
    <n v="48000000"/>
    <n v="5.2083333333333336E-2"/>
    <n v="2.6041666666666668E-2"/>
    <n v="5000000"/>
    <n v="0"/>
    <s v="Review"/>
    <x v="3"/>
    <x v="0"/>
  </r>
  <r>
    <n v="1614373"/>
    <x v="0"/>
    <x v="0"/>
    <n v="28"/>
    <n v="1079"/>
    <n v="10"/>
    <x v="0"/>
    <n v="1997"/>
    <n v="35"/>
    <n v="1"/>
    <n v="10000000000"/>
    <n v="8500000000"/>
    <n v="20"/>
    <n v="28"/>
    <n v="14"/>
    <n v="500000000"/>
    <n v="3000000000"/>
    <n v="1550000000"/>
    <x v="10"/>
    <s v="Yes"/>
    <x v="0"/>
    <x v="0"/>
    <n v="60"/>
    <n v="0"/>
    <n v="0"/>
    <s v="Yes"/>
    <n v="1000000000"/>
    <s v="No"/>
    <s v="No"/>
    <s v="Yes"/>
    <n v="8"/>
    <s v="Minor obstacle"/>
    <s v="No obstacle"/>
    <s v="No obstacle"/>
    <s v="No obstacle"/>
    <x v="4"/>
    <s v="Are in some case taken from books and in some case estimates"/>
    <n v="27"/>
    <n v="1000000000"/>
    <n v="8"/>
    <x v="0"/>
    <n v="0.17647058823529416"/>
    <n v="8.4652289093280819E-2"/>
    <n v="1"/>
    <n v="357142857.14285713"/>
    <n v="0.05"/>
    <n v="0.3"/>
    <n v="55357142.857142858"/>
    <n v="0.1"/>
    <s v="Review"/>
    <x v="3"/>
    <x v="0"/>
  </r>
  <r>
    <n v="1614376"/>
    <x v="3"/>
    <x v="0"/>
    <n v="15"/>
    <n v="1061"/>
    <n v="10"/>
    <x v="0"/>
    <n v="2009"/>
    <n v="13"/>
    <n v="1"/>
    <n v="450000000"/>
    <n v="450000000"/>
    <n v="45"/>
    <n v="15"/>
    <n v="10"/>
    <n v="45000000"/>
    <n v="50000000"/>
    <n v="1000000000"/>
    <x v="1"/>
    <s v="Not asked (survey skip: screener employment &lt;20)"/>
    <x v="0"/>
    <x v="0"/>
    <n v="100"/>
    <n v="0"/>
    <n v="0"/>
    <s v="No"/>
    <m/>
    <s v="No"/>
    <s v="No"/>
    <s v="No"/>
    <m/>
    <s v="Minor obstacle"/>
    <s v="No obstacle"/>
    <s v="No obstacle"/>
    <s v="Minor obstacle"/>
    <x v="0"/>
    <s v="Are estimates computed with some precision"/>
    <n v="15"/>
    <n v="0"/>
    <n v="0"/>
    <x v="1"/>
    <n v="0"/>
    <n v="0"/>
    <n v="0.5"/>
    <n v="30000000"/>
    <n v="0.1"/>
    <n v="0.1111111111111111"/>
    <n v="66666666.666666664"/>
    <n v="0"/>
    <s v="Normal"/>
    <x v="1"/>
    <x v="1"/>
  </r>
  <r>
    <n v="1614377"/>
    <x v="0"/>
    <x v="1"/>
    <n v="18"/>
    <n v="1061"/>
    <n v="10"/>
    <x v="0"/>
    <n v="2010"/>
    <n v="15"/>
    <n v="7.8952765464782715"/>
    <n v="100000000"/>
    <n v="70000000"/>
    <n v="90"/>
    <n v="6"/>
    <n v="6"/>
    <n v="24000000"/>
    <n v="31000000"/>
    <n v="120000000"/>
    <x v="1"/>
    <s v="Not asked (survey skip: screener employment &lt;20)"/>
    <x v="0"/>
    <x v="0"/>
    <n v="60"/>
    <n v="20"/>
    <n v="0"/>
    <s v="No"/>
    <m/>
    <s v="Yes"/>
    <s v="Yes"/>
    <s v="No"/>
    <m/>
    <s v="Major obstacle"/>
    <s v="Very severe obstacle"/>
    <s v="Major obstacle"/>
    <s v="Major obstacle"/>
    <x v="2"/>
    <s v="Are taken directly from establishment records"/>
    <n v="14"/>
    <n v="0"/>
    <n v="0"/>
    <x v="1"/>
    <n v="0.4285714285714286"/>
    <n v="0.19522860933439357"/>
    <n v="0"/>
    <n v="16666666.666666666"/>
    <n v="0.24"/>
    <n v="0.31"/>
    <n v="20000000"/>
    <n v="0"/>
    <s v="Normal"/>
    <x v="1"/>
    <x v="0"/>
  </r>
  <r>
    <n v="1614381"/>
    <x v="2"/>
    <x v="2"/>
    <n v="5"/>
    <n v="2511"/>
    <n v="25"/>
    <x v="6"/>
    <n v="2017"/>
    <n v="10"/>
    <n v="2.6198341846466064"/>
    <n v="40000000"/>
    <n v="10000000"/>
    <n v="4"/>
    <n v="5"/>
    <n v="2"/>
    <n v="5000000"/>
    <n v="20000000"/>
    <n v="8000000"/>
    <x v="1"/>
    <s v="Not asked (survey skip: screener employment &lt;20)"/>
    <x v="0"/>
    <x v="0"/>
    <n v="40"/>
    <n v="0"/>
    <n v="10"/>
    <s v="Yes"/>
    <n v="1500000"/>
    <s v="No"/>
    <s v="No"/>
    <s v="Yes"/>
    <n v="4"/>
    <s v="Major obstacle"/>
    <s v="Major obstacle"/>
    <s v="Minor obstacle"/>
    <s v="Minor obstacle"/>
    <x v="1"/>
    <s v="Are estimates computed with some precision"/>
    <n v="7"/>
    <n v="1500000"/>
    <n v="4"/>
    <x v="1"/>
    <n v="3"/>
    <n v="1"/>
    <n v="1.5"/>
    <n v="8000000"/>
    <n v="0.125"/>
    <n v="0.5"/>
    <n v="1600000"/>
    <n v="3.7499999999999999E-2"/>
    <s v="Normal"/>
    <x v="2"/>
    <x v="2"/>
  </r>
  <r>
    <n v="1614384"/>
    <x v="2"/>
    <x v="2"/>
    <n v="5"/>
    <n v="3100"/>
    <n v="31"/>
    <x v="3"/>
    <n v="2018"/>
    <n v="10"/>
    <n v="2.6198341846466064"/>
    <n v="13000000"/>
    <m/>
    <n v="56"/>
    <n v="5"/>
    <n v="3"/>
    <n v="7200000"/>
    <m/>
    <n v="500000"/>
    <x v="1"/>
    <s v="Not asked (survey skip: screener employment &lt;20)"/>
    <x v="0"/>
    <x v="0"/>
    <n v="80"/>
    <n v="0"/>
    <n v="20"/>
    <s v="No"/>
    <m/>
    <s v="No"/>
    <s v="No"/>
    <s v="No"/>
    <m/>
    <m/>
    <s v="Major obstacle"/>
    <s v="No obstacle"/>
    <s v="Moderate obstacle"/>
    <x v="0"/>
    <s v="Are estimates computed with some precision"/>
    <n v="6"/>
    <n v="0"/>
    <n v="0"/>
    <x v="1"/>
    <s v=""/>
    <s v=""/>
    <n v="0.66666666666666674"/>
    <n v="2600000"/>
    <n v="0.55384615384615388"/>
    <s v=""/>
    <n v="100000"/>
    <n v="0"/>
    <s v="Normal"/>
    <x v="2"/>
    <x v="3"/>
  </r>
  <r>
    <n v="1614386"/>
    <x v="3"/>
    <x v="1"/>
    <n v="12"/>
    <n v="1061"/>
    <n v="10"/>
    <x v="0"/>
    <n v="2010"/>
    <n v="17"/>
    <n v="1.6450884342193604"/>
    <n v="121000000"/>
    <n v="97640000"/>
    <n v="70"/>
    <n v="8"/>
    <n v="8"/>
    <n v="13420000"/>
    <n v="57900000"/>
    <n v="545000000"/>
    <x v="1"/>
    <s v="Not asked (survey skip: screener employment &lt;20)"/>
    <x v="0"/>
    <x v="0"/>
    <n v="70"/>
    <n v="0"/>
    <n v="20"/>
    <s v="No"/>
    <m/>
    <s v="No"/>
    <s v="No"/>
    <s v="Yes"/>
    <n v="7"/>
    <s v="Minor obstacle"/>
    <s v="Minor obstacle"/>
    <s v="No obstacle"/>
    <s v="No obstacle"/>
    <x v="0"/>
    <s v="Are estimates computed with some precision"/>
    <n v="14"/>
    <n v="0"/>
    <n v="7"/>
    <x v="1"/>
    <n v="0.23924621056943884"/>
    <n v="0.11321435966728299"/>
    <n v="0"/>
    <n v="15125000"/>
    <n v="0.11090909090909092"/>
    <n v="0.47851239669421486"/>
    <n v="68125000"/>
    <n v="0"/>
    <s v="Normal"/>
    <x v="1"/>
    <x v="0"/>
  </r>
  <r>
    <n v="1614394"/>
    <x v="1"/>
    <x v="0"/>
    <n v="180"/>
    <n v="2410"/>
    <n v="24"/>
    <x v="5"/>
    <n v="1964"/>
    <n v="30"/>
    <n v="1.5749640464782715"/>
    <n v="311849205000"/>
    <n v="297796133000"/>
    <n v="50"/>
    <n v="180"/>
    <n v="150"/>
    <n v="11370810000"/>
    <n v="26410481500"/>
    <n v="70000000000"/>
    <x v="12"/>
    <s v="Yes"/>
    <x v="0"/>
    <x v="0"/>
    <n v="100"/>
    <n v="0"/>
    <n v="0"/>
    <s v="Yes"/>
    <n v="1000000000"/>
    <s v="No"/>
    <s v="No"/>
    <s v="Yes"/>
    <n v="30"/>
    <s v="No obstacle"/>
    <s v="No obstacle"/>
    <s v="No obstacle"/>
    <s v="Very severe obstacle"/>
    <x v="9"/>
    <s v="Are taken directly from establishment records"/>
    <n v="60"/>
    <n v="1000000000"/>
    <n v="30"/>
    <x v="0"/>
    <n v="4.7190243400507814E-2"/>
    <n v="2.3323137332733168E-2"/>
    <n v="0.19999999999999996"/>
    <n v="1732495583.3333333"/>
    <n v="3.6462526816446426E-2"/>
    <n v="8.4689911266568732E-2"/>
    <n v="388888888.8888889"/>
    <n v="3.2066780481290629E-3"/>
    <s v="Review"/>
    <x v="0"/>
    <x v="1"/>
  </r>
  <r>
    <n v="1614398"/>
    <x v="2"/>
    <x v="2"/>
    <n v="10"/>
    <n v="1079"/>
    <n v="10"/>
    <x v="0"/>
    <n v="2019"/>
    <n v="10"/>
    <n v="1.6504706144332886"/>
    <n v="24000000"/>
    <n v="21000000"/>
    <n v="30"/>
    <n v="2"/>
    <n v="2"/>
    <n v="15600000"/>
    <n v="5000000"/>
    <n v="1200000"/>
    <x v="1"/>
    <s v="Not asked (survey skip: screener employment &lt;20)"/>
    <x v="0"/>
    <x v="0"/>
    <n v="10"/>
    <n v="0"/>
    <n v="0"/>
    <s v="Yes"/>
    <n v="3000000"/>
    <s v="No"/>
    <s v="No"/>
    <s v="Yes"/>
    <n v="8"/>
    <s v="Moderate obstacle"/>
    <s v="Major obstacle"/>
    <s v="Moderate obstacle"/>
    <s v="Moderate obstacle"/>
    <x v="6"/>
    <s v="Are estimates computed with some precision"/>
    <n v="5"/>
    <n v="3000000"/>
    <n v="8"/>
    <x v="1"/>
    <n v="0.14285714285714279"/>
    <n v="6.9044967649697586E-2"/>
    <n v="0"/>
    <n v="12000000"/>
    <n v="0.65"/>
    <n v="0.20833333333333334"/>
    <n v="600000"/>
    <n v="0.125"/>
    <s v="Normal"/>
    <x v="2"/>
    <x v="0"/>
  </r>
  <r>
    <n v="1614399"/>
    <x v="1"/>
    <x v="0"/>
    <n v="122"/>
    <n v="1394"/>
    <n v="13"/>
    <x v="17"/>
    <n v="1963"/>
    <n v="20"/>
    <n v="1.5749640464782715"/>
    <n v="11000000000"/>
    <n v="10000000000"/>
    <n v="40"/>
    <n v="120"/>
    <n v="160"/>
    <n v="800000000"/>
    <n v="7000000000"/>
    <n v="300000000"/>
    <x v="8"/>
    <s v="Yes"/>
    <x v="1"/>
    <x v="0"/>
    <n v="20"/>
    <n v="40"/>
    <n v="40"/>
    <s v="No"/>
    <m/>
    <s v="Yes"/>
    <s v="No"/>
    <s v="No"/>
    <m/>
    <s v="No obstacle"/>
    <s v="Minor obstacle"/>
    <s v="No obstacle"/>
    <s v="Minor obstacle"/>
    <x v="8"/>
    <s v="Are taken directly from establishment records"/>
    <n v="61"/>
    <n v="0"/>
    <n v="0"/>
    <x v="0"/>
    <n v="0.10000000000000009"/>
    <n v="4.8808848170151631E-2"/>
    <n v="-0.25"/>
    <n v="91666666.666666672"/>
    <n v="7.2727272727272724E-2"/>
    <n v="0.63636363636363635"/>
    <n v="2500000"/>
    <n v="0"/>
    <s v="Review"/>
    <x v="0"/>
    <x v="0"/>
  </r>
  <r>
    <n v="1614402"/>
    <x v="1"/>
    <x v="1"/>
    <n v="12"/>
    <n v="1080"/>
    <n v="10"/>
    <x v="0"/>
    <n v="2000"/>
    <n v="13"/>
    <n v="30.085899353027344"/>
    <n v="68000000"/>
    <n v="35000000"/>
    <n v="90"/>
    <n v="12"/>
    <n v="6"/>
    <n v="25000000"/>
    <n v="40000000"/>
    <n v="80000000"/>
    <x v="1"/>
    <s v="Not asked (survey skip: screener employment &lt;20)"/>
    <x v="0"/>
    <x v="0"/>
    <n v="50"/>
    <n v="0"/>
    <n v="50"/>
    <s v="No"/>
    <m/>
    <s v="No"/>
    <s v="No"/>
    <s v="Yes"/>
    <n v="2"/>
    <s v="Moderate obstacle"/>
    <s v="No obstacle"/>
    <s v="No obstacle"/>
    <s v="No obstacle"/>
    <x v="0"/>
    <s v="Are in some case taken from books and in some case estimates"/>
    <n v="24"/>
    <n v="0"/>
    <n v="2"/>
    <x v="1"/>
    <n v="0.94285714285714284"/>
    <n v="0.3938641048743392"/>
    <n v="1"/>
    <n v="5666666.666666667"/>
    <n v="0.36764705882352944"/>
    <n v="0.58823529411764708"/>
    <n v="6666666.666666667"/>
    <n v="0"/>
    <s v="Normal"/>
    <x v="3"/>
    <x v="2"/>
  </r>
  <r>
    <n v="1614403"/>
    <x v="1"/>
    <x v="0"/>
    <n v="12"/>
    <n v="1920"/>
    <n v="19"/>
    <x v="18"/>
    <n v="2005"/>
    <n v="15"/>
    <n v="1.5749640464782715"/>
    <n v="70000000"/>
    <n v="50000000"/>
    <n v="100"/>
    <n v="12"/>
    <n v="5"/>
    <n v="28000000"/>
    <n v="45000000"/>
    <n v="50000000"/>
    <x v="1"/>
    <s v="Not asked (survey skip: screener employment &lt;20)"/>
    <x v="0"/>
    <x v="0"/>
    <n v="50"/>
    <n v="0"/>
    <n v="40"/>
    <s v="No"/>
    <m/>
    <s v="No"/>
    <s v="No"/>
    <s v="Yes"/>
    <n v="2"/>
    <s v="No obstacle"/>
    <s v="No obstacle"/>
    <s v="Minor obstacle"/>
    <s v="No obstacle"/>
    <x v="0"/>
    <s v="Are in some case taken from books and in some case estimates"/>
    <n v="19"/>
    <n v="0"/>
    <n v="2"/>
    <x v="1"/>
    <n v="0.39999999999999991"/>
    <n v="0.18321595661992318"/>
    <n v="1.4"/>
    <n v="5833333.333333333"/>
    <n v="0.4"/>
    <n v="0.6428571428571429"/>
    <n v="4166666.6666666665"/>
    <n v="0"/>
    <s v="Normal"/>
    <x v="1"/>
    <x v="0"/>
  </r>
  <r>
    <n v="1614406"/>
    <x v="2"/>
    <x v="0"/>
    <n v="1242"/>
    <n v="1079"/>
    <n v="10"/>
    <x v="0"/>
    <n v="1960"/>
    <n v="6"/>
    <n v="1.3089461326599121"/>
    <n v="27000000000"/>
    <n v="27180000000"/>
    <n v="77"/>
    <n v="1384"/>
    <n v="1711"/>
    <n v="2988000000"/>
    <n v="15628496000"/>
    <n v="50000000000"/>
    <x v="13"/>
    <s v="Yes"/>
    <x v="0"/>
    <x v="0"/>
    <n v="100"/>
    <n v="0"/>
    <n v="0"/>
    <s v="No"/>
    <m/>
    <s v="No"/>
    <s v="No"/>
    <s v="Yes"/>
    <n v="4"/>
    <s v="Major obstacle"/>
    <s v="No obstacle"/>
    <s v="No obstacle"/>
    <m/>
    <x v="0"/>
    <s v="Are in some case taken from books and in some case estimates"/>
    <n v="64"/>
    <n v="0"/>
    <n v="4"/>
    <x v="0"/>
    <n v="-6.6225165562914245E-3"/>
    <n v="-3.3167587223569273E-3"/>
    <n v="-0.19111630625365283"/>
    <n v="19508670.520231213"/>
    <n v="0.11066666666666666"/>
    <n v="0.57883318518518523"/>
    <n v="36127167.630057804"/>
    <n v="0"/>
    <s v="Review"/>
    <x v="0"/>
    <x v="1"/>
  </r>
  <r>
    <n v="1614408"/>
    <x v="1"/>
    <x v="0"/>
    <n v="325"/>
    <n v="2220"/>
    <n v="22"/>
    <x v="16"/>
    <n v="1992"/>
    <n v="30"/>
    <n v="1.5749640464782715"/>
    <n v="830000000000"/>
    <n v="900000000000"/>
    <n v="95"/>
    <n v="325"/>
    <n v="300"/>
    <n v="20400000000"/>
    <n v="500000000000"/>
    <n v="700000000000"/>
    <x v="14"/>
    <s v="Yes"/>
    <x v="1"/>
    <x v="1"/>
    <n v="70"/>
    <n v="10"/>
    <n v="20"/>
    <s v="No"/>
    <m/>
    <s v="Yes"/>
    <s v="Yes"/>
    <s v="No"/>
    <m/>
    <s v="Moderate obstacle"/>
    <s v="Minor obstacle"/>
    <s v="Moderate obstacle"/>
    <s v="Minor obstacle"/>
    <x v="0"/>
    <s v="Are in some case taken from books and in some case estimates"/>
    <n v="32"/>
    <n v="0"/>
    <n v="0"/>
    <x v="0"/>
    <n v="-7.7777777777777724E-2"/>
    <n v="-3.9675980607471018E-2"/>
    <n v="8.3333333333333259E-2"/>
    <n v="2553846153.8461537"/>
    <n v="2.457831325301205E-2"/>
    <n v="0.60240963855421692"/>
    <n v="2153846153.8461537"/>
    <n v="0"/>
    <s v="Review"/>
    <x v="0"/>
    <x v="1"/>
  </r>
  <r>
    <n v="1614427"/>
    <x v="2"/>
    <x v="2"/>
    <n v="31"/>
    <n v="1061"/>
    <n v="10"/>
    <x v="0"/>
    <n v="2005"/>
    <n v="20"/>
    <n v="2.6198341846466064"/>
    <n v="371000000"/>
    <n v="300000000"/>
    <n v="90"/>
    <n v="25"/>
    <n v="25"/>
    <n v="167400000"/>
    <n v="131000000"/>
    <n v="400000000"/>
    <x v="1"/>
    <s v="Yes"/>
    <x v="0"/>
    <x v="0"/>
    <n v="60"/>
    <n v="0"/>
    <n v="20"/>
    <s v="No"/>
    <m/>
    <s v="No"/>
    <s v="No"/>
    <s v="Yes"/>
    <n v="3"/>
    <s v="Major obstacle"/>
    <s v="Moderate obstacle"/>
    <s v="No obstacle"/>
    <s v="Minor obstacle"/>
    <x v="1"/>
    <s v="Are taken directly from establishment records"/>
    <n v="19"/>
    <n v="0"/>
    <n v="3"/>
    <x v="1"/>
    <n v="0.23666666666666658"/>
    <n v="0.11205515450748504"/>
    <n v="0"/>
    <n v="14840000"/>
    <n v="0.45121293800539086"/>
    <n v="0.35309973045822102"/>
    <n v="16000000"/>
    <n v="0"/>
    <s v="Normal"/>
    <x v="1"/>
    <x v="0"/>
  </r>
  <r>
    <n v="1614428"/>
    <x v="1"/>
    <x v="1"/>
    <n v="120"/>
    <n v="2022"/>
    <n v="20"/>
    <x v="7"/>
    <n v="1980"/>
    <n v="12"/>
    <n v="157.86737060546875"/>
    <n v="43673000000"/>
    <n v="36000000000"/>
    <n v="95"/>
    <n v="120"/>
    <n v="100"/>
    <n v="1100000000"/>
    <m/>
    <n v="5000000000"/>
    <x v="15"/>
    <s v="Yes"/>
    <x v="1"/>
    <x v="0"/>
    <n v="60"/>
    <n v="0"/>
    <n v="40"/>
    <s v="No"/>
    <m/>
    <s v="No"/>
    <s v="No"/>
    <s v="Yes"/>
    <n v="4"/>
    <s v="Minor obstacle"/>
    <s v="Minor obstacle"/>
    <s v="Minor obstacle"/>
    <s v="Major obstacle"/>
    <x v="5"/>
    <s v="Are estimates computed with some precision"/>
    <n v="44"/>
    <n v="0"/>
    <n v="4"/>
    <x v="0"/>
    <n v="0.21313888888888899"/>
    <n v="0.10142584357227102"/>
    <n v="0.19999999999999996"/>
    <n v="363941666.66666669"/>
    <n v="2.5187186591257755E-2"/>
    <s v=""/>
    <n v="41666666.666666664"/>
    <n v="0"/>
    <s v="Review"/>
    <x v="0"/>
    <x v="0"/>
  </r>
  <r>
    <n v="1614432"/>
    <x v="3"/>
    <x v="1"/>
    <n v="6"/>
    <n v="1061"/>
    <n v="10"/>
    <x v="0"/>
    <n v="2010"/>
    <n v="16"/>
    <n v="1.6450884342193604"/>
    <n v="38300000"/>
    <n v="35740000"/>
    <n v="70"/>
    <n v="3"/>
    <n v="3"/>
    <n v="5100000"/>
    <n v="11000000"/>
    <n v="89400000"/>
    <x v="1"/>
    <s v="Not asked (survey skip: screener employment &lt;20)"/>
    <x v="0"/>
    <x v="0"/>
    <n v="90"/>
    <n v="0"/>
    <n v="0"/>
    <s v="No"/>
    <m/>
    <s v="No"/>
    <s v="No"/>
    <s v="Yes"/>
    <n v="6"/>
    <s v="Moderate obstacle"/>
    <s v="Minor obstacle"/>
    <s v="No obstacle"/>
    <s v="No obstacle"/>
    <x v="0"/>
    <s v="Are estimates computed with some precision"/>
    <n v="14"/>
    <n v="0"/>
    <n v="6"/>
    <x v="1"/>
    <n v="7.1628427532176797E-2"/>
    <n v="3.5194874181753599E-2"/>
    <n v="0"/>
    <n v="12766666.666666666"/>
    <n v="0.13315926892950392"/>
    <n v="0.28720626631853785"/>
    <n v="29800000"/>
    <n v="0"/>
    <s v="Normal"/>
    <x v="1"/>
    <x v="1"/>
  </r>
  <r>
    <n v="1614441"/>
    <x v="3"/>
    <x v="1"/>
    <n v="22"/>
    <n v="1061"/>
    <n v="10"/>
    <x v="0"/>
    <n v="2005"/>
    <n v="20"/>
    <n v="1.6450884342193604"/>
    <n v="1000000000"/>
    <n v="800000000"/>
    <n v="65"/>
    <n v="22"/>
    <n v="22"/>
    <n v="80000000"/>
    <n v="30000000"/>
    <n v="2000000000"/>
    <x v="1"/>
    <s v="No"/>
    <x v="0"/>
    <x v="0"/>
    <n v="90"/>
    <n v="0"/>
    <n v="0"/>
    <s v="No"/>
    <m/>
    <s v="No"/>
    <s v="No"/>
    <s v="No"/>
    <m/>
    <s v="Minor obstacle"/>
    <s v="No obstacle"/>
    <s v="No obstacle"/>
    <s v="Moderate obstacle"/>
    <x v="0"/>
    <s v="Are in some case taken from books and in some case estimates"/>
    <n v="19"/>
    <n v="0"/>
    <n v="0"/>
    <x v="1"/>
    <n v="0.25"/>
    <n v="0.1180339887498949"/>
    <n v="0"/>
    <n v="45454545.454545453"/>
    <n v="0.08"/>
    <n v="0.03"/>
    <n v="90909090.909090906"/>
    <n v="0"/>
    <s v="Normal"/>
    <x v="1"/>
    <x v="0"/>
  </r>
  <r>
    <n v="1614444"/>
    <x v="1"/>
    <x v="1"/>
    <n v="6"/>
    <n v="1410"/>
    <n v="14"/>
    <x v="1"/>
    <n v="2016"/>
    <n v="1"/>
    <n v="259.94696044921875"/>
    <n v="30000000"/>
    <n v="15000000"/>
    <n v="60"/>
    <n v="3"/>
    <n v="2"/>
    <n v="12000000"/>
    <n v="2500000"/>
    <n v="40000000"/>
    <x v="1"/>
    <s v="Not asked (survey skip: screener employment &lt;20)"/>
    <x v="0"/>
    <x v="0"/>
    <n v="100"/>
    <n v="0"/>
    <n v="0"/>
    <s v="No"/>
    <m/>
    <s v="No"/>
    <s v="No"/>
    <s v="No"/>
    <m/>
    <s v="Minor obstacle"/>
    <s v="Minor obstacle"/>
    <s v="No obstacle"/>
    <s v="Moderate obstacle"/>
    <x v="5"/>
    <s v="Are in some case taken from books and in some case estimates"/>
    <n v="8"/>
    <n v="0"/>
    <n v="0"/>
    <x v="1"/>
    <n v="1"/>
    <n v="0.41421356237309515"/>
    <n v="0.5"/>
    <n v="10000000"/>
    <n v="0.4"/>
    <n v="8.3333333333333329E-2"/>
    <n v="13333333.333333334"/>
    <n v="0"/>
    <s v="Normal"/>
    <x v="2"/>
    <x v="2"/>
  </r>
  <r>
    <n v="1614446"/>
    <x v="2"/>
    <x v="2"/>
    <n v="152"/>
    <n v="1079"/>
    <n v="10"/>
    <x v="0"/>
    <n v="2011"/>
    <n v="60"/>
    <n v="1.6504706144332886"/>
    <n v="3660000000"/>
    <n v="13000000000"/>
    <n v="20"/>
    <n v="45"/>
    <n v="54"/>
    <n v="800000000"/>
    <n v="700000000"/>
    <n v="4500000000"/>
    <x v="1"/>
    <s v="No"/>
    <x v="0"/>
    <x v="1"/>
    <n v="0"/>
    <n v="30"/>
    <n v="0"/>
    <s v="No"/>
    <m/>
    <s v="Yes"/>
    <s v="No"/>
    <s v="Yes"/>
    <n v="8"/>
    <s v="Major obstacle"/>
    <s v="Major obstacle"/>
    <s v="Minor obstacle"/>
    <s v="Moderate obstacle"/>
    <x v="0"/>
    <s v="Are in some case taken from books and in some case estimates"/>
    <n v="13"/>
    <n v="0"/>
    <n v="8"/>
    <x v="1"/>
    <n v="-0.71846153846153848"/>
    <n v="-0.46939801966213746"/>
    <n v="-0.16666666666666663"/>
    <n v="81333333.333333328"/>
    <n v="0.21857923497267759"/>
    <n v="0.19125683060109289"/>
    <n v="100000000"/>
    <n v="0"/>
    <s v="Normal"/>
    <x v="1"/>
    <x v="1"/>
  </r>
  <r>
    <n v="1614447"/>
    <x v="0"/>
    <x v="2"/>
    <n v="12"/>
    <n v="1061"/>
    <n v="10"/>
    <x v="0"/>
    <n v="2014"/>
    <n v="11"/>
    <n v="1.6103764772415161"/>
    <n v="120000000"/>
    <n v="100000000"/>
    <n v="90"/>
    <n v="12"/>
    <n v="20"/>
    <n v="18000000"/>
    <n v="40000000"/>
    <n v="170000000"/>
    <x v="1"/>
    <s v="Not asked (survey skip: screener employment &lt;20)"/>
    <x v="0"/>
    <x v="0"/>
    <n v="60"/>
    <n v="20"/>
    <n v="0"/>
    <s v="No"/>
    <m/>
    <s v="No"/>
    <s v="Yes"/>
    <s v="Yes"/>
    <n v="10"/>
    <s v="Very severe obstacle"/>
    <s v="Major obstacle"/>
    <s v="Very severe obstacle"/>
    <s v="Moderate obstacle"/>
    <x v="1"/>
    <s v="Are taken directly from establishment records"/>
    <n v="10"/>
    <n v="0"/>
    <n v="10"/>
    <x v="1"/>
    <n v="0.19999999999999996"/>
    <n v="9.5445115010332149E-2"/>
    <n v="-0.4"/>
    <n v="10000000"/>
    <n v="0.15"/>
    <n v="0.33333333333333331"/>
    <n v="14166666.666666666"/>
    <n v="0"/>
    <s v="Normal"/>
    <x v="1"/>
    <x v="0"/>
  </r>
  <r>
    <n v="1614451"/>
    <x v="3"/>
    <x v="1"/>
    <n v="7"/>
    <n v="2511"/>
    <n v="25"/>
    <x v="6"/>
    <n v="2011"/>
    <n v="17"/>
    <n v="43.730415344238281"/>
    <n v="50330000"/>
    <n v="43180000"/>
    <n v="45"/>
    <n v="4"/>
    <n v="4"/>
    <n v="7420000"/>
    <n v="10210000"/>
    <n v="163470000"/>
    <x v="1"/>
    <s v="Not asked (survey skip: screener employment &lt;20)"/>
    <x v="0"/>
    <x v="0"/>
    <n v="60"/>
    <n v="0"/>
    <n v="20"/>
    <s v="No"/>
    <m/>
    <s v="No"/>
    <s v="No"/>
    <s v="Yes"/>
    <n v="8"/>
    <s v="Major obstacle"/>
    <s v="Minor obstacle"/>
    <s v="No obstacle"/>
    <s v="Minor obstacle"/>
    <x v="1"/>
    <s v="Are estimates computed with some precision"/>
    <n v="13"/>
    <n v="0"/>
    <n v="8"/>
    <x v="1"/>
    <n v="0.16558591940713296"/>
    <n v="7.9623045051898211E-2"/>
    <n v="0"/>
    <n v="12582500"/>
    <n v="0.1474269819193324"/>
    <n v="0.20286111663024042"/>
    <n v="40867500"/>
    <n v="0"/>
    <s v="Normal"/>
    <x v="1"/>
    <x v="0"/>
  </r>
  <r>
    <n v="1614452"/>
    <x v="1"/>
    <x v="0"/>
    <n v="500"/>
    <n v="2821"/>
    <n v="28"/>
    <x v="9"/>
    <n v="1983"/>
    <n v="30"/>
    <n v="1.5749640464782715"/>
    <n v="400000000000"/>
    <n v="300000000000"/>
    <n v="45"/>
    <n v="400"/>
    <n v="100"/>
    <n v="10000000000"/>
    <n v="12000000000"/>
    <n v="15000000000"/>
    <x v="1"/>
    <s v="No"/>
    <x v="0"/>
    <x v="0"/>
    <n v="100"/>
    <n v="0"/>
    <n v="0"/>
    <s v="No"/>
    <m/>
    <m/>
    <s v="No"/>
    <s v="No"/>
    <m/>
    <s v="No obstacle"/>
    <s v="No obstacle"/>
    <s v="Minor obstacle"/>
    <s v="No obstacle"/>
    <x v="9"/>
    <s v="Are estimates computed with some precision"/>
    <n v="41"/>
    <n v="0"/>
    <n v="0"/>
    <x v="1"/>
    <n v="0.33333333333333326"/>
    <n v="0.15470053837925146"/>
    <n v="3"/>
    <n v="1000000000"/>
    <n v="2.5000000000000001E-2"/>
    <n v="0.03"/>
    <n v="37500000"/>
    <n v="0"/>
    <s v="Review"/>
    <x v="0"/>
    <x v="0"/>
  </r>
  <r>
    <n v="1614456"/>
    <x v="0"/>
    <x v="2"/>
    <n v="8"/>
    <n v="2511"/>
    <n v="25"/>
    <x v="6"/>
    <n v="2016"/>
    <n v="10"/>
    <n v="1.6637996435165405"/>
    <n v="74700000"/>
    <n v="51260000"/>
    <n v="30"/>
    <n v="4"/>
    <n v="4"/>
    <n v="10200000"/>
    <n v="15000000"/>
    <n v="182000000"/>
    <x v="1"/>
    <s v="Not asked (survey skip: screener employment &lt;20)"/>
    <x v="0"/>
    <x v="0"/>
    <n v="90"/>
    <n v="0"/>
    <n v="0"/>
    <s v="No"/>
    <m/>
    <s v="No"/>
    <s v="Yes"/>
    <s v="Yes"/>
    <n v="5"/>
    <s v="Moderate obstacle"/>
    <s v="Very severe obstacle"/>
    <s v="No obstacle"/>
    <s v="No obstacle"/>
    <x v="3"/>
    <s v="Are estimates computed with some precision"/>
    <n v="8"/>
    <n v="0"/>
    <n v="5"/>
    <x v="1"/>
    <n v="0.45727662895044863"/>
    <n v="0.20717713238383073"/>
    <n v="0"/>
    <n v="18675000"/>
    <n v="0.13654618473895583"/>
    <n v="0.20080321285140562"/>
    <n v="45500000"/>
    <n v="0"/>
    <s v="Normal"/>
    <x v="2"/>
    <x v="0"/>
  </r>
  <r>
    <n v="1614457"/>
    <x v="1"/>
    <x v="0"/>
    <n v="100"/>
    <n v="1104"/>
    <n v="11"/>
    <x v="11"/>
    <n v="1950"/>
    <n v="30"/>
    <n v="1.5749640464782715"/>
    <n v="15000000000"/>
    <n v="10000000000"/>
    <n v="100"/>
    <n v="100"/>
    <n v="40"/>
    <n v="500000000"/>
    <n v="800000000"/>
    <n v="20000000000"/>
    <x v="1"/>
    <s v="Yes"/>
    <x v="0"/>
    <x v="0"/>
    <n v="50"/>
    <n v="0"/>
    <n v="50"/>
    <s v="No"/>
    <m/>
    <s v="No"/>
    <s v="No"/>
    <s v="No"/>
    <m/>
    <s v="Minor obstacle"/>
    <s v="No obstacle"/>
    <s v="No obstacle"/>
    <s v="Minor obstacle"/>
    <x v="0"/>
    <s v="Are in some case taken from books and in some case estimates"/>
    <n v="74"/>
    <n v="0"/>
    <n v="0"/>
    <x v="1"/>
    <n v="0.5"/>
    <n v="0.22474487139158894"/>
    <n v="1.5"/>
    <n v="150000000"/>
    <n v="3.3333333333333333E-2"/>
    <n v="5.3333333333333337E-2"/>
    <n v="200000000"/>
    <n v="0"/>
    <s v="Review"/>
    <x v="0"/>
    <x v="0"/>
  </r>
  <r>
    <n v="1614460"/>
    <x v="2"/>
    <x v="2"/>
    <n v="5"/>
    <n v="3100"/>
    <n v="31"/>
    <x v="3"/>
    <n v="2023"/>
    <n v="4"/>
    <n v="22.385154724121094"/>
    <m/>
    <m/>
    <n v="3"/>
    <n v="3"/>
    <m/>
    <m/>
    <m/>
    <m/>
    <x v="1"/>
    <s v="Not asked (survey skip: screener employment &lt;20)"/>
    <x v="0"/>
    <x v="0"/>
    <n v="30"/>
    <n v="0"/>
    <n v="70"/>
    <s v="No"/>
    <m/>
    <s v="No"/>
    <s v="No"/>
    <s v="No"/>
    <m/>
    <s v="Major obstacle"/>
    <s v="Major obstacle"/>
    <s v="Major obstacle"/>
    <s v="Major obstacle"/>
    <x v="3"/>
    <s v="Are estimates computed with some precision"/>
    <n v="1"/>
    <n v="0"/>
    <n v="0"/>
    <x v="1"/>
    <s v=""/>
    <s v=""/>
    <s v=""/>
    <s v=""/>
    <s v=""/>
    <s v=""/>
    <s v=""/>
    <n v="0"/>
    <s v="Normal"/>
    <x v="2"/>
    <x v="3"/>
  </r>
  <r>
    <n v="1614461"/>
    <x v="1"/>
    <x v="0"/>
    <n v="250"/>
    <n v="3100"/>
    <n v="31"/>
    <x v="3"/>
    <n v="2001"/>
    <n v="20"/>
    <n v="1.5749640464782715"/>
    <n v="259000000000"/>
    <m/>
    <n v="100"/>
    <n v="250"/>
    <n v="160"/>
    <n v="2400000000"/>
    <n v="68000000000"/>
    <m/>
    <x v="16"/>
    <s v="Yes"/>
    <x v="0"/>
    <x v="0"/>
    <n v="90"/>
    <n v="0"/>
    <n v="0"/>
    <s v="No"/>
    <m/>
    <s v="No"/>
    <s v="No"/>
    <s v="Yes"/>
    <n v="6"/>
    <s v="Minor obstacle"/>
    <s v="Minor obstacle"/>
    <s v="No obstacle"/>
    <s v="Moderate obstacle"/>
    <x v="5"/>
    <s v="Are in some case taken from books and in some case estimates"/>
    <n v="23"/>
    <n v="0"/>
    <n v="6"/>
    <x v="0"/>
    <s v=""/>
    <s v=""/>
    <n v="0.5625"/>
    <n v="1036000000"/>
    <n v="9.2664092664092659E-3"/>
    <n v="0.26254826254826252"/>
    <s v=""/>
    <n v="0"/>
    <s v="Review"/>
    <x v="3"/>
    <x v="3"/>
  </r>
  <r>
    <n v="1614469"/>
    <x v="1"/>
    <x v="0"/>
    <n v="800"/>
    <n v="2394"/>
    <n v="23"/>
    <x v="8"/>
    <n v="1994"/>
    <n v="28"/>
    <n v="1.5749640464782715"/>
    <n v="25000000000"/>
    <n v="15000000000"/>
    <n v="99"/>
    <n v="52"/>
    <n v="25"/>
    <n v="2000000000"/>
    <n v="15000000000"/>
    <n v="18000000000"/>
    <x v="14"/>
    <s v="Yes"/>
    <x v="1"/>
    <x v="0"/>
    <n v="70"/>
    <n v="0"/>
    <n v="10"/>
    <s v="No"/>
    <m/>
    <s v="No"/>
    <s v="No"/>
    <s v="No"/>
    <m/>
    <s v="No obstacle"/>
    <s v="No obstacle"/>
    <s v="Minor obstacle"/>
    <s v="Minor obstacle"/>
    <x v="0"/>
    <s v="Are in some case taken from books and in some case estimates"/>
    <n v="30"/>
    <n v="0"/>
    <n v="0"/>
    <x v="0"/>
    <n v="0.66666666666666674"/>
    <n v="0.2909944487358056"/>
    <n v="1.08"/>
    <n v="480769230.76923078"/>
    <n v="0.08"/>
    <n v="0.6"/>
    <n v="346153846.15384614"/>
    <n v="0"/>
    <s v="Review"/>
    <x v="0"/>
    <x v="2"/>
  </r>
  <r>
    <n v="1614470"/>
    <x v="3"/>
    <x v="2"/>
    <n v="15"/>
    <n v="1102"/>
    <n v="11"/>
    <x v="11"/>
    <n v="2016"/>
    <n v="9"/>
    <n v="2.6425690650939941"/>
    <m/>
    <m/>
    <m/>
    <n v="10"/>
    <n v="9"/>
    <m/>
    <m/>
    <n v="92340000"/>
    <x v="1"/>
    <s v="Not asked (survey skip: screener employment &lt;20)"/>
    <x v="1"/>
    <x v="1"/>
    <n v="90"/>
    <n v="0"/>
    <n v="0"/>
    <s v="No"/>
    <m/>
    <s v="No"/>
    <s v="No"/>
    <s v="Yes"/>
    <n v="8"/>
    <s v="Major obstacle"/>
    <s v="Moderate obstacle"/>
    <s v="Major obstacle"/>
    <s v="Moderate obstacle"/>
    <x v="0"/>
    <s v="Are estimates computed with some precision"/>
    <n v="8"/>
    <n v="0"/>
    <n v="8"/>
    <x v="1"/>
    <s v=""/>
    <s v=""/>
    <n v="0.11111111111111116"/>
    <s v=""/>
    <s v=""/>
    <s v=""/>
    <n v="9234000"/>
    <n v="0"/>
    <s v="Normal"/>
    <x v="2"/>
    <x v="3"/>
  </r>
  <r>
    <n v="1614471"/>
    <x v="1"/>
    <x v="0"/>
    <n v="800"/>
    <n v="2410"/>
    <n v="24"/>
    <x v="5"/>
    <n v="2001"/>
    <n v="30"/>
    <n v="1.5749640464782715"/>
    <n v="2000000000"/>
    <n v="900000000"/>
    <n v="100"/>
    <n v="85"/>
    <n v="40"/>
    <n v="700000000"/>
    <n v="1000000000"/>
    <n v="8000000000"/>
    <x v="0"/>
    <s v="Yes"/>
    <x v="1"/>
    <x v="0"/>
    <n v="60"/>
    <n v="5"/>
    <n v="20"/>
    <s v="Yes"/>
    <n v="600000000"/>
    <s v="No"/>
    <s v="Yes"/>
    <s v="Yes"/>
    <n v="2"/>
    <s v="No obstacle"/>
    <s v="No obstacle"/>
    <s v="No obstacle"/>
    <s v="No obstacle"/>
    <x v="0"/>
    <s v="Are in some case taken from books and in some case estimates"/>
    <n v="23"/>
    <n v="600000000"/>
    <n v="2"/>
    <x v="0"/>
    <n v="1.2222222222222223"/>
    <n v="0.4907119849998598"/>
    <n v="1.125"/>
    <n v="23529411.764705881"/>
    <n v="0.35"/>
    <n v="0.5"/>
    <n v="94117647.058823526"/>
    <n v="0.3"/>
    <s v="Normal"/>
    <x v="3"/>
    <x v="2"/>
  </r>
  <r>
    <n v="1614472"/>
    <x v="1"/>
    <x v="1"/>
    <n v="20"/>
    <n v="1061"/>
    <n v="10"/>
    <x v="0"/>
    <n v="2017"/>
    <n v="18"/>
    <n v="30.085899353027344"/>
    <n v="80000000"/>
    <n v="50000000"/>
    <n v="50"/>
    <n v="13"/>
    <n v="10"/>
    <n v="7200000"/>
    <n v="30000000"/>
    <n v="120000000"/>
    <x v="1"/>
    <s v="Yes"/>
    <x v="1"/>
    <x v="1"/>
    <n v="0"/>
    <n v="0"/>
    <n v="100"/>
    <s v="Yes"/>
    <n v="5000000"/>
    <s v="No"/>
    <s v="No"/>
    <s v="No"/>
    <m/>
    <s v="Minor obstacle"/>
    <s v="Major obstacle"/>
    <s v="No obstacle"/>
    <s v="Major obstacle"/>
    <x v="3"/>
    <s v="Are estimates computed with some precision"/>
    <n v="7"/>
    <n v="5000000"/>
    <n v="0"/>
    <x v="1"/>
    <n v="0.60000000000000009"/>
    <n v="0.26491106406735176"/>
    <n v="0.30000000000000004"/>
    <n v="6153846.153846154"/>
    <n v="0.09"/>
    <n v="0.375"/>
    <n v="9230769.2307692301"/>
    <n v="6.25E-2"/>
    <s v="Normal"/>
    <x v="2"/>
    <x v="0"/>
  </r>
  <r>
    <n v="1614474"/>
    <x v="2"/>
    <x v="2"/>
    <n v="40"/>
    <n v="1061"/>
    <n v="10"/>
    <x v="0"/>
    <n v="1997"/>
    <n v="6"/>
    <n v="1.6504706144332886"/>
    <m/>
    <m/>
    <n v="3"/>
    <n v="6"/>
    <n v="6"/>
    <m/>
    <m/>
    <m/>
    <x v="1"/>
    <s v="Yes"/>
    <x v="0"/>
    <x v="0"/>
    <n v="80"/>
    <n v="20"/>
    <n v="0"/>
    <s v="No"/>
    <m/>
    <s v="No"/>
    <s v="Yes"/>
    <s v="Yes"/>
    <n v="6"/>
    <s v="Major obstacle"/>
    <s v="Moderate obstacle"/>
    <s v="Minor obstacle"/>
    <s v="Minor obstacle"/>
    <x v="1"/>
    <s v="Are arbitrary and unreliable numbers"/>
    <n v="27"/>
    <n v="0"/>
    <n v="6"/>
    <x v="1"/>
    <s v=""/>
    <s v=""/>
    <n v="0"/>
    <s v=""/>
    <s v=""/>
    <s v=""/>
    <s v=""/>
    <n v="0"/>
    <s v="Normal"/>
    <x v="3"/>
    <x v="3"/>
  </r>
  <r>
    <n v="1614477"/>
    <x v="2"/>
    <x v="2"/>
    <n v="5"/>
    <n v="1079"/>
    <n v="10"/>
    <x v="0"/>
    <n v="2005"/>
    <n v="4"/>
    <n v="1.6504706144332886"/>
    <n v="180000000"/>
    <m/>
    <n v="82"/>
    <n v="5"/>
    <n v="5"/>
    <n v="20000000"/>
    <m/>
    <n v="50000000"/>
    <x v="1"/>
    <s v="Not asked (survey skip: screener employment &lt;20)"/>
    <x v="0"/>
    <x v="0"/>
    <n v="100"/>
    <n v="0"/>
    <n v="0"/>
    <s v="No"/>
    <m/>
    <s v="No"/>
    <s v="No"/>
    <s v="No"/>
    <m/>
    <s v="Minor obstacle"/>
    <s v="No obstacle"/>
    <s v="No obstacle"/>
    <m/>
    <x v="1"/>
    <s v="Are estimates computed with some precision"/>
    <n v="19"/>
    <n v="0"/>
    <n v="0"/>
    <x v="1"/>
    <s v=""/>
    <s v=""/>
    <n v="0"/>
    <n v="36000000"/>
    <n v="0.1111111111111111"/>
    <s v=""/>
    <n v="10000000"/>
    <n v="0"/>
    <s v="Normal"/>
    <x v="1"/>
    <x v="3"/>
  </r>
  <r>
    <n v="1614480"/>
    <x v="0"/>
    <x v="2"/>
    <n v="130"/>
    <n v="1200"/>
    <n v="12"/>
    <x v="19"/>
    <n v="2010"/>
    <n v="30"/>
    <n v="1.6637996435165405"/>
    <n v="4000000000"/>
    <n v="3700000000"/>
    <n v="65"/>
    <n v="130"/>
    <n v="100"/>
    <n v="500000000"/>
    <n v="3000000000"/>
    <n v="300000000"/>
    <x v="17"/>
    <s v="Yes"/>
    <x v="0"/>
    <x v="0"/>
    <n v="100"/>
    <n v="0"/>
    <n v="0"/>
    <s v="No"/>
    <m/>
    <s v="No"/>
    <s v="No"/>
    <s v="Yes"/>
    <n v="12"/>
    <s v="Moderate obstacle"/>
    <s v="Moderate obstacle"/>
    <s v="No obstacle"/>
    <s v="Minor obstacle"/>
    <x v="1"/>
    <s v="Are in some case taken from books and in some case estimates"/>
    <n v="14"/>
    <n v="0"/>
    <n v="12"/>
    <x v="0"/>
    <n v="8.1081081081081141E-2"/>
    <n v="3.9750489820072676E-2"/>
    <n v="0.30000000000000004"/>
    <n v="30769230.769230768"/>
    <n v="0.125"/>
    <n v="0.75"/>
    <n v="2307692.3076923075"/>
    <n v="0"/>
    <s v="Normal"/>
    <x v="1"/>
    <x v="1"/>
  </r>
  <r>
    <n v="1614485"/>
    <x v="1"/>
    <x v="0"/>
    <n v="1000"/>
    <n v="1104"/>
    <n v="11"/>
    <x v="11"/>
    <n v="1886"/>
    <n v="10"/>
    <n v="1.5749640464782715"/>
    <m/>
    <m/>
    <m/>
    <n v="1000"/>
    <n v="1000"/>
    <m/>
    <m/>
    <n v="80000000000"/>
    <x v="1"/>
    <s v="Yes"/>
    <x v="0"/>
    <x v="0"/>
    <n v="100"/>
    <n v="0"/>
    <n v="0"/>
    <s v="Yes"/>
    <n v="100000000"/>
    <s v="No"/>
    <s v="No"/>
    <s v="Yes"/>
    <n v="2"/>
    <s v="Very severe obstacle"/>
    <s v="No obstacle"/>
    <s v="No obstacle"/>
    <s v="Very severe obstacle"/>
    <x v="5"/>
    <s v="Are taken directly from establishment records"/>
    <n v="138"/>
    <n v="100000000"/>
    <n v="2"/>
    <x v="1"/>
    <s v=""/>
    <s v=""/>
    <n v="0"/>
    <s v=""/>
    <s v=""/>
    <s v=""/>
    <n v="80000000"/>
    <s v=""/>
    <s v="Normal"/>
    <x v="0"/>
    <x v="3"/>
  </r>
  <r>
    <n v="1614493"/>
    <x v="3"/>
    <x v="1"/>
    <n v="10"/>
    <n v="1071"/>
    <n v="10"/>
    <x v="0"/>
    <n v="2020"/>
    <n v="10"/>
    <n v="1.6450884342193604"/>
    <n v="7200000"/>
    <n v="4200000"/>
    <n v="2"/>
    <n v="5"/>
    <n v="4"/>
    <m/>
    <n v="5000000"/>
    <n v="36400000"/>
    <x v="1"/>
    <s v="Not asked (survey skip: screener employment &lt;20)"/>
    <x v="0"/>
    <x v="0"/>
    <n v="70"/>
    <n v="0"/>
    <n v="10"/>
    <s v="No"/>
    <m/>
    <s v="No"/>
    <s v="No"/>
    <s v="No"/>
    <m/>
    <s v="Major obstacle"/>
    <s v="Very severe obstacle"/>
    <s v="No obstacle"/>
    <s v="Very severe obstacle"/>
    <x v="3"/>
    <s v="Are estimates computed with some precision"/>
    <n v="4"/>
    <n v="0"/>
    <n v="0"/>
    <x v="1"/>
    <n v="0.71428571428571419"/>
    <n v="0.30930734141595417"/>
    <n v="0.25"/>
    <n v="1440000"/>
    <s v=""/>
    <n v="0.69444444444444442"/>
    <n v="7280000"/>
    <n v="0"/>
    <s v="Normal"/>
    <x v="2"/>
    <x v="2"/>
  </r>
  <r>
    <n v="1614494"/>
    <x v="0"/>
    <x v="1"/>
    <n v="11"/>
    <n v="1061"/>
    <n v="10"/>
    <x v="0"/>
    <n v="2010"/>
    <n v="15"/>
    <n v="7.8952765464782715"/>
    <n v="500000000"/>
    <n v="450000000"/>
    <n v="95"/>
    <n v="10"/>
    <n v="9"/>
    <n v="59400000"/>
    <n v="60000000"/>
    <n v="80000000"/>
    <x v="1"/>
    <s v="Not asked (survey skip: screener employment &lt;20)"/>
    <x v="0"/>
    <x v="0"/>
    <n v="70"/>
    <n v="0"/>
    <n v="10"/>
    <s v="No"/>
    <m/>
    <s v="No"/>
    <s v="No"/>
    <s v="Yes"/>
    <n v="5"/>
    <s v="Major obstacle"/>
    <s v="Very severe obstacle"/>
    <s v="No obstacle"/>
    <s v="Minor obstacle"/>
    <x v="3"/>
    <s v="Are taken directly from establishment records"/>
    <n v="14"/>
    <n v="0"/>
    <n v="5"/>
    <x v="1"/>
    <n v="0.11111111111111116"/>
    <n v="5.4092553389459841E-2"/>
    <n v="0.11111111111111116"/>
    <n v="50000000"/>
    <n v="0.1188"/>
    <n v="0.12"/>
    <n v="8000000"/>
    <n v="0"/>
    <s v="Normal"/>
    <x v="1"/>
    <x v="0"/>
  </r>
  <r>
    <n v="1614495"/>
    <x v="1"/>
    <x v="0"/>
    <n v="400"/>
    <n v="1071"/>
    <n v="10"/>
    <x v="0"/>
    <n v="2010"/>
    <n v="10"/>
    <n v="1.5688178539276123"/>
    <n v="50000000000"/>
    <n v="60000000000"/>
    <n v="80"/>
    <n v="150"/>
    <n v="90"/>
    <n v="1000000000"/>
    <n v="20000000000"/>
    <n v="50000000000"/>
    <x v="1"/>
    <s v="Yes"/>
    <x v="1"/>
    <x v="1"/>
    <n v="50"/>
    <n v="20"/>
    <n v="30"/>
    <s v="Yes"/>
    <n v="25000000"/>
    <s v="No"/>
    <s v="No"/>
    <s v="Yes"/>
    <n v="30"/>
    <s v="No obstacle"/>
    <s v="No obstacle"/>
    <s v="Minor obstacle"/>
    <s v="Moderate obstacle"/>
    <x v="5"/>
    <s v="Are taken directly from establishment records"/>
    <n v="14"/>
    <n v="25000000"/>
    <n v="30"/>
    <x v="1"/>
    <n v="-0.16666666666666663"/>
    <n v="-8.7129070824723098E-2"/>
    <n v="0.66666666666666674"/>
    <n v="333333333.33333331"/>
    <n v="0.02"/>
    <n v="0.4"/>
    <n v="333333333.33333331"/>
    <n v="5.0000000000000001E-4"/>
    <s v="Review"/>
    <x v="1"/>
    <x v="1"/>
  </r>
  <r>
    <n v="1614496"/>
    <x v="0"/>
    <x v="1"/>
    <n v="8"/>
    <n v="1071"/>
    <n v="10"/>
    <x v="0"/>
    <n v="2016"/>
    <n v="9"/>
    <n v="7.8952765464782715"/>
    <n v="38000000"/>
    <n v="32650000"/>
    <n v="50"/>
    <n v="5"/>
    <n v="5"/>
    <n v="15000000"/>
    <n v="10000000"/>
    <n v="18000000"/>
    <x v="1"/>
    <s v="Not asked (survey skip: screener employment &lt;20)"/>
    <x v="1"/>
    <x v="0"/>
    <n v="70"/>
    <n v="0"/>
    <n v="0"/>
    <s v="No"/>
    <m/>
    <s v="No"/>
    <s v="No"/>
    <s v="Yes"/>
    <n v="4"/>
    <s v="Major obstacle"/>
    <s v="Major obstacle"/>
    <s v="No obstacle"/>
    <s v="Moderate obstacle"/>
    <x v="3"/>
    <s v="Are estimates computed with some precision"/>
    <n v="8"/>
    <n v="0"/>
    <n v="4"/>
    <x v="1"/>
    <n v="0.16385911179173052"/>
    <n v="7.8823021533991344E-2"/>
    <n v="0"/>
    <n v="7600000"/>
    <n v="0.39473684210526316"/>
    <n v="0.26315789473684209"/>
    <n v="3600000"/>
    <n v="0"/>
    <s v="Normal"/>
    <x v="2"/>
    <x v="0"/>
  </r>
  <r>
    <n v="1614501"/>
    <x v="3"/>
    <x v="1"/>
    <n v="80"/>
    <n v="1040"/>
    <n v="10"/>
    <x v="0"/>
    <n v="2011"/>
    <n v="4"/>
    <n v="1.6450884342193604"/>
    <n v="400000000"/>
    <n v="300000000"/>
    <n v="80"/>
    <n v="80"/>
    <n v="60"/>
    <n v="150000000"/>
    <n v="100000000"/>
    <n v="800000000"/>
    <x v="1"/>
    <s v="Yes"/>
    <x v="0"/>
    <x v="0"/>
    <n v="60"/>
    <n v="0"/>
    <n v="30"/>
    <s v="No"/>
    <m/>
    <s v="No"/>
    <s v="No"/>
    <s v="Yes"/>
    <n v="4"/>
    <s v="Moderate obstacle"/>
    <s v="Minor obstacle"/>
    <s v="Minor obstacle"/>
    <s v="No obstacle"/>
    <x v="5"/>
    <s v="Are in some case taken from books and in some case estimates"/>
    <n v="13"/>
    <n v="0"/>
    <n v="4"/>
    <x v="1"/>
    <n v="0.33333333333333326"/>
    <n v="0.15470053837925146"/>
    <n v="0.33333333333333326"/>
    <n v="5000000"/>
    <n v="0.375"/>
    <n v="0.25"/>
    <n v="10000000"/>
    <n v="0"/>
    <s v="Normal"/>
    <x v="1"/>
    <x v="0"/>
  </r>
  <r>
    <n v="1614504"/>
    <x v="3"/>
    <x v="1"/>
    <n v="15"/>
    <n v="1040"/>
    <n v="10"/>
    <x v="0"/>
    <n v="2013"/>
    <n v="15"/>
    <n v="1.6450884342193604"/>
    <n v="100000000"/>
    <n v="80000000"/>
    <n v="100"/>
    <n v="15"/>
    <n v="6"/>
    <n v="30000000"/>
    <n v="150000000"/>
    <n v="300000000"/>
    <x v="1"/>
    <s v="Not asked (survey skip: screener employment &lt;20)"/>
    <x v="0"/>
    <x v="0"/>
    <n v="60"/>
    <n v="0"/>
    <n v="20"/>
    <s v="Yes"/>
    <n v="25000000"/>
    <s v="No"/>
    <s v="No"/>
    <s v="Yes"/>
    <n v="4"/>
    <s v="Moderate obstacle"/>
    <s v="Major obstacle"/>
    <s v="No obstacle"/>
    <s v="Very severe obstacle"/>
    <x v="5"/>
    <s v="Are in some case taken from books and in some case estimates"/>
    <n v="11"/>
    <n v="25000000"/>
    <n v="4"/>
    <x v="1"/>
    <n v="0.25"/>
    <n v="0.1180339887498949"/>
    <n v="1.5"/>
    <n v="6666666.666666667"/>
    <n v="0.3"/>
    <n v="1.5"/>
    <n v="20000000"/>
    <n v="0.25"/>
    <s v="Normal"/>
    <x v="1"/>
    <x v="0"/>
  </r>
  <r>
    <n v="1614507"/>
    <x v="2"/>
    <x v="2"/>
    <n v="20"/>
    <n v="1071"/>
    <n v="10"/>
    <x v="0"/>
    <n v="2021"/>
    <n v="10"/>
    <n v="1.6504706144332886"/>
    <n v="444000000"/>
    <n v="180000000"/>
    <n v="50"/>
    <n v="13"/>
    <n v="13"/>
    <n v="15000000"/>
    <n v="360000000"/>
    <n v="45000000"/>
    <x v="1"/>
    <s v="Yes"/>
    <x v="1"/>
    <x v="1"/>
    <n v="50"/>
    <n v="0"/>
    <n v="30"/>
    <s v="No"/>
    <m/>
    <s v="Yes"/>
    <s v="No"/>
    <s v="No"/>
    <m/>
    <s v="Very severe obstacle"/>
    <s v="Major obstacle"/>
    <s v="Moderate obstacle"/>
    <s v="Moderate obstacle"/>
    <x v="8"/>
    <s v="Are in some case taken from books and in some case estimates"/>
    <n v="3"/>
    <n v="0"/>
    <n v="0"/>
    <x v="1"/>
    <n v="1.4666666666666668"/>
    <n v="0.57056253191863293"/>
    <n v="0"/>
    <n v="34153846.153846152"/>
    <n v="3.3783783783783786E-2"/>
    <n v="0.81081081081081086"/>
    <n v="3461538.4615384615"/>
    <n v="0"/>
    <s v="Normal"/>
    <x v="2"/>
    <x v="2"/>
  </r>
  <r>
    <n v="1614513"/>
    <x v="1"/>
    <x v="1"/>
    <n v="6"/>
    <n v="1410"/>
    <n v="14"/>
    <x v="1"/>
    <n v="2007"/>
    <n v="12"/>
    <n v="259.94696044921875"/>
    <n v="219000000"/>
    <n v="113000000"/>
    <n v="100"/>
    <n v="6"/>
    <n v="4"/>
    <n v="4000000"/>
    <n v="100000000"/>
    <n v="220000000"/>
    <x v="1"/>
    <s v="Not asked (survey skip: screener employment &lt;20)"/>
    <x v="0"/>
    <x v="0"/>
    <n v="20"/>
    <n v="80"/>
    <n v="0"/>
    <s v="No"/>
    <m/>
    <s v="No"/>
    <s v="No"/>
    <s v="Yes"/>
    <n v="4"/>
    <s v="Major obstacle"/>
    <s v="Very severe obstacle"/>
    <s v="No obstacle"/>
    <s v="No obstacle"/>
    <x v="3"/>
    <s v="Are estimates computed with some precision"/>
    <n v="17"/>
    <n v="0"/>
    <n v="4"/>
    <x v="1"/>
    <n v="0.93805309734513265"/>
    <n v="0.39213975496181153"/>
    <n v="0.5"/>
    <n v="36500000"/>
    <n v="1.8264840182648401E-2"/>
    <n v="0.45662100456621002"/>
    <n v="36666666.666666664"/>
    <n v="0"/>
    <s v="Normal"/>
    <x v="1"/>
    <x v="2"/>
  </r>
  <r>
    <n v="1614518"/>
    <x v="3"/>
    <x v="1"/>
    <n v="55"/>
    <n v="1071"/>
    <n v="10"/>
    <x v="0"/>
    <n v="2014"/>
    <n v="15"/>
    <n v="1.6450884342193604"/>
    <n v="3600000000"/>
    <m/>
    <n v="3"/>
    <n v="6"/>
    <n v="4"/>
    <n v="144000000"/>
    <n v="2520000000"/>
    <n v="300000000"/>
    <x v="1"/>
    <s v="Yes"/>
    <x v="1"/>
    <x v="1"/>
    <n v="80"/>
    <n v="0"/>
    <n v="10"/>
    <s v="Yes"/>
    <n v="150000000"/>
    <s v="No"/>
    <s v="No"/>
    <s v="Yes"/>
    <n v="0"/>
    <s v="Major obstacle"/>
    <s v="Major obstacle"/>
    <s v="Moderate obstacle"/>
    <s v="Moderate obstacle"/>
    <x v="13"/>
    <s v="Are estimates computed with some precision"/>
    <n v="10"/>
    <n v="150000000"/>
    <n v="0"/>
    <x v="1"/>
    <s v=""/>
    <s v=""/>
    <n v="0.5"/>
    <n v="600000000"/>
    <n v="0.04"/>
    <n v="0.7"/>
    <n v="50000000"/>
    <n v="4.1666666666666664E-2"/>
    <s v="Normal"/>
    <x v="1"/>
    <x v="3"/>
  </r>
  <r>
    <n v="1614519"/>
    <x v="0"/>
    <x v="2"/>
    <n v="6"/>
    <n v="2511"/>
    <n v="25"/>
    <x v="6"/>
    <n v="2005"/>
    <n v="30"/>
    <n v="1.6637996435165405"/>
    <n v="15000000"/>
    <n v="12500000"/>
    <n v="75"/>
    <n v="3"/>
    <n v="3"/>
    <n v="7000000"/>
    <n v="9000000"/>
    <n v="4000000"/>
    <x v="1"/>
    <s v="Not asked (survey skip: screener employment &lt;20)"/>
    <x v="1"/>
    <x v="0"/>
    <n v="60"/>
    <n v="0"/>
    <n v="0"/>
    <s v="No"/>
    <m/>
    <s v="No"/>
    <s v="No"/>
    <s v="Yes"/>
    <n v="12"/>
    <s v="Major obstacle"/>
    <s v="Very severe obstacle"/>
    <s v="No obstacle"/>
    <s v="Major obstacle"/>
    <x v="3"/>
    <s v="Are estimates computed with some precision"/>
    <n v="19"/>
    <n v="0"/>
    <n v="12"/>
    <x v="1"/>
    <n v="0.19999999999999996"/>
    <n v="9.5445115010332149E-2"/>
    <n v="0"/>
    <n v="5000000"/>
    <n v="0.46666666666666667"/>
    <n v="0.6"/>
    <n v="1333333.3333333333"/>
    <n v="0"/>
    <s v="Normal"/>
    <x v="1"/>
    <x v="0"/>
  </r>
  <r>
    <n v="1614520"/>
    <x v="1"/>
    <x v="0"/>
    <n v="150"/>
    <n v="1071"/>
    <n v="10"/>
    <x v="0"/>
    <n v="2012"/>
    <n v="20"/>
    <n v="1.5688178539276123"/>
    <n v="800000000"/>
    <n v="150000000"/>
    <n v="100"/>
    <n v="150"/>
    <n v="40"/>
    <n v="400000000"/>
    <n v="150000000"/>
    <n v="150000000000"/>
    <x v="6"/>
    <s v="Yes"/>
    <x v="1"/>
    <x v="0"/>
    <n v="70"/>
    <n v="0"/>
    <n v="0"/>
    <s v="No"/>
    <m/>
    <s v="No"/>
    <s v="No"/>
    <s v="Yes"/>
    <n v="4"/>
    <s v="No obstacle"/>
    <s v="Minor obstacle"/>
    <s v="No obstacle"/>
    <s v="No obstacle"/>
    <x v="0"/>
    <s v="Are in some case taken from books and in some case estimates"/>
    <n v="12"/>
    <n v="0"/>
    <n v="4"/>
    <x v="0"/>
    <n v="4.333333333333333"/>
    <n v="1.3094010767585029"/>
    <n v="2.75"/>
    <n v="5333333.333333333"/>
    <n v="0.5"/>
    <n v="0.1875"/>
    <n v="1000000000"/>
    <n v="0"/>
    <s v="Normal"/>
    <x v="1"/>
    <x v="2"/>
  </r>
  <r>
    <n v="1614522"/>
    <x v="2"/>
    <x v="0"/>
    <n v="364"/>
    <n v="1072"/>
    <n v="10"/>
    <x v="0"/>
    <n v="2019"/>
    <n v="10"/>
    <n v="1.3089461326599121"/>
    <n v="21000000000"/>
    <n v="18000000000"/>
    <n v="80"/>
    <n v="262"/>
    <n v="164"/>
    <n v="1824000000"/>
    <m/>
    <n v="10000000000"/>
    <x v="6"/>
    <s v="Yes"/>
    <x v="1"/>
    <x v="0"/>
    <n v="60"/>
    <n v="0"/>
    <n v="0"/>
    <s v="Yes"/>
    <m/>
    <s v="No"/>
    <s v="No"/>
    <s v="No"/>
    <m/>
    <s v="Minor obstacle"/>
    <s v="Minor obstacle"/>
    <s v="No obstacle"/>
    <s v="Moderate obstacle"/>
    <x v="5"/>
    <s v="Are in some case taken from books and in some case estimates"/>
    <n v="5"/>
    <n v="0"/>
    <n v="0"/>
    <x v="0"/>
    <n v="0.16666666666666674"/>
    <n v="8.012344973464347E-2"/>
    <n v="0.59756097560975618"/>
    <n v="80152671.75572519"/>
    <n v="8.6857142857142855E-2"/>
    <s v=""/>
    <n v="38167938.931297712"/>
    <n v="0"/>
    <s v="Review"/>
    <x v="2"/>
    <x v="0"/>
  </r>
  <r>
    <n v="1614523"/>
    <x v="0"/>
    <x v="1"/>
    <n v="6"/>
    <n v="2511"/>
    <n v="25"/>
    <x v="6"/>
    <n v="2006"/>
    <n v="27"/>
    <n v="68.513816833496094"/>
    <n v="26000000"/>
    <n v="28000000"/>
    <n v="100"/>
    <n v="6"/>
    <n v="8"/>
    <n v="7200000"/>
    <n v="18000000"/>
    <n v="8000000"/>
    <x v="1"/>
    <s v="Not asked (survey skip: screener employment &lt;20)"/>
    <x v="0"/>
    <x v="0"/>
    <n v="80"/>
    <n v="0"/>
    <n v="0"/>
    <s v="No"/>
    <m/>
    <s v="No"/>
    <s v="No"/>
    <s v="Yes"/>
    <n v="11"/>
    <s v="Major obstacle"/>
    <s v="Very severe obstacle"/>
    <s v="Minor obstacle"/>
    <s v="Major obstacle"/>
    <x v="3"/>
    <s v="Are in some case taken from books and in some case estimates"/>
    <n v="18"/>
    <n v="0"/>
    <n v="11"/>
    <x v="1"/>
    <n v="-7.1428571428571397E-2"/>
    <n v="-3.6375888340568485E-2"/>
    <n v="-0.25"/>
    <n v="4333333.333333333"/>
    <n v="0.27692307692307694"/>
    <n v="0.69230769230769229"/>
    <n v="1333333.3333333333"/>
    <n v="0"/>
    <s v="Normal"/>
    <x v="1"/>
    <x v="1"/>
  </r>
  <r>
    <n v="1614524"/>
    <x v="2"/>
    <x v="2"/>
    <n v="175"/>
    <n v="1061"/>
    <n v="10"/>
    <x v="0"/>
    <n v="2013"/>
    <m/>
    <n v="1.6504706144332886"/>
    <m/>
    <m/>
    <n v="85"/>
    <n v="25"/>
    <n v="25"/>
    <m/>
    <m/>
    <m/>
    <x v="8"/>
    <s v="Yes"/>
    <x v="0"/>
    <x v="0"/>
    <m/>
    <m/>
    <m/>
    <s v="Yes"/>
    <m/>
    <s v="Yes"/>
    <s v="Yes"/>
    <s v="Yes"/>
    <m/>
    <s v="Minor obstacle"/>
    <s v="Minor obstacle"/>
    <s v="Minor obstacle"/>
    <s v="No obstacle"/>
    <x v="8"/>
    <s v="Are estimates computed with some precision"/>
    <n v="11"/>
    <n v="0"/>
    <n v="0"/>
    <x v="0"/>
    <s v=""/>
    <s v=""/>
    <n v="0"/>
    <s v=""/>
    <s v=""/>
    <s v=""/>
    <s v=""/>
    <s v=""/>
    <s v="Normal"/>
    <x v="1"/>
    <x v="3"/>
  </r>
  <r>
    <n v="1614525"/>
    <x v="1"/>
    <x v="0"/>
    <n v="350"/>
    <n v="2410"/>
    <n v="24"/>
    <x v="5"/>
    <n v="2000"/>
    <n v="25"/>
    <n v="1.5749640464782715"/>
    <n v="365000000000"/>
    <n v="255500000000"/>
    <n v="15"/>
    <n v="350"/>
    <n v="245"/>
    <n v="24000000000"/>
    <n v="350000000000"/>
    <n v="100000000000"/>
    <x v="8"/>
    <s v="Yes"/>
    <x v="0"/>
    <x v="0"/>
    <n v="80"/>
    <n v="0"/>
    <n v="0"/>
    <s v="No"/>
    <m/>
    <s v="No"/>
    <s v="No"/>
    <m/>
    <m/>
    <s v="Very severe obstacle"/>
    <s v="No obstacle"/>
    <s v="Minor obstacle"/>
    <s v="Minor obstacle"/>
    <x v="1"/>
    <s v="Are estimates computed with some precision"/>
    <n v="24"/>
    <n v="0"/>
    <s v=""/>
    <x v="0"/>
    <n v="0.4285714285714286"/>
    <n v="0.19522860933439357"/>
    <n v="0.4285714285714286"/>
    <n v="1042857142.8571428"/>
    <n v="6.575342465753424E-2"/>
    <n v="0.95890410958904104"/>
    <n v="285714285.71428573"/>
    <n v="0"/>
    <s v="Review"/>
    <x v="3"/>
    <x v="0"/>
  </r>
  <r>
    <n v="1614527"/>
    <x v="1"/>
    <x v="0"/>
    <n v="200"/>
    <n v="2392"/>
    <n v="23"/>
    <x v="8"/>
    <n v="2003"/>
    <n v="26"/>
    <n v="1.5749640464782715"/>
    <n v="3000000000"/>
    <n v="2000000000"/>
    <n v="98"/>
    <n v="200"/>
    <n v="100"/>
    <n v="380000000"/>
    <n v="1800000000"/>
    <n v="7000000000"/>
    <x v="1"/>
    <s v="Yes"/>
    <x v="1"/>
    <x v="0"/>
    <n v="70"/>
    <n v="0"/>
    <n v="20"/>
    <s v="No"/>
    <m/>
    <s v="No"/>
    <s v="No"/>
    <s v="Yes"/>
    <n v="6"/>
    <s v="No obstacle"/>
    <s v="Minor obstacle"/>
    <s v="No obstacle"/>
    <s v="No obstacle"/>
    <x v="0"/>
    <s v="Are in some case taken from books and in some case estimates"/>
    <n v="21"/>
    <n v="0"/>
    <n v="6"/>
    <x v="1"/>
    <n v="0.5"/>
    <n v="0.22474487139158894"/>
    <n v="1"/>
    <n v="15000000"/>
    <n v="0.12666666666666668"/>
    <n v="0.6"/>
    <n v="35000000"/>
    <n v="0"/>
    <s v="Normal"/>
    <x v="3"/>
    <x v="0"/>
  </r>
  <r>
    <n v="1614531"/>
    <x v="1"/>
    <x v="1"/>
    <n v="15"/>
    <n v="1079"/>
    <n v="10"/>
    <x v="0"/>
    <n v="1999"/>
    <n v="20"/>
    <n v="30.085899353027344"/>
    <n v="300000000"/>
    <n v="150000000"/>
    <n v="90"/>
    <n v="15"/>
    <n v="6"/>
    <n v="95000000"/>
    <n v="200000000"/>
    <n v="500000000"/>
    <x v="1"/>
    <s v="Not asked (survey skip: screener employment &lt;20)"/>
    <x v="0"/>
    <x v="0"/>
    <n v="60"/>
    <n v="0"/>
    <n v="40"/>
    <s v="No"/>
    <m/>
    <s v="No"/>
    <s v="No"/>
    <s v="No"/>
    <m/>
    <s v="Minor obstacle"/>
    <s v="Minor obstacle"/>
    <s v="Minor obstacle"/>
    <s v="Minor obstacle"/>
    <x v="0"/>
    <s v="Are in some case taken from books and in some case estimates"/>
    <n v="25"/>
    <n v="0"/>
    <n v="0"/>
    <x v="1"/>
    <n v="1"/>
    <n v="0.41421356237309515"/>
    <n v="1.5"/>
    <n v="20000000"/>
    <n v="0.31666666666666665"/>
    <n v="0.66666666666666663"/>
    <n v="33333333.333333332"/>
    <n v="0"/>
    <s v="Normal"/>
    <x v="3"/>
    <x v="2"/>
  </r>
  <r>
    <n v="1614533"/>
    <x v="2"/>
    <x v="1"/>
    <n v="10"/>
    <n v="2511"/>
    <n v="25"/>
    <x v="6"/>
    <n v="2021"/>
    <n v="10"/>
    <n v="64.973602294921875"/>
    <n v="45000000"/>
    <n v="30000000"/>
    <n v="3"/>
    <n v="8"/>
    <n v="6"/>
    <n v="1000000"/>
    <n v="30000000"/>
    <n v="13500000"/>
    <x v="1"/>
    <s v="Not asked (survey skip: screener employment &lt;20)"/>
    <x v="1"/>
    <x v="1"/>
    <n v="40"/>
    <n v="20"/>
    <n v="40"/>
    <s v="Yes"/>
    <n v="19000000"/>
    <s v="Yes"/>
    <s v="Yes"/>
    <s v="Yes"/>
    <n v="12"/>
    <s v="Major obstacle"/>
    <s v="No obstacle"/>
    <s v="Major obstacle"/>
    <s v="Major obstacle"/>
    <x v="6"/>
    <s v="Are estimates computed with some precision"/>
    <n v="3"/>
    <n v="19000000"/>
    <n v="12"/>
    <x v="1"/>
    <n v="0.5"/>
    <n v="0.22474487139158894"/>
    <n v="0.33333333333333326"/>
    <n v="5625000"/>
    <n v="2.2222222222222223E-2"/>
    <n v="0.66666666666666663"/>
    <n v="1687500"/>
    <n v="0.42222222222222222"/>
    <s v="Normal"/>
    <x v="2"/>
    <x v="0"/>
  </r>
  <r>
    <n v="1614546"/>
    <x v="1"/>
    <x v="0"/>
    <n v="40"/>
    <n v="2029"/>
    <n v="20"/>
    <x v="7"/>
    <n v="2000"/>
    <n v="15"/>
    <n v="1.5749640464782715"/>
    <n v="100000000"/>
    <n v="50000000"/>
    <n v="70"/>
    <n v="25"/>
    <n v="10"/>
    <n v="30000000"/>
    <n v="40000000"/>
    <n v="300000000"/>
    <x v="1"/>
    <s v="Yes"/>
    <x v="0"/>
    <x v="0"/>
    <n v="50"/>
    <n v="0"/>
    <n v="50"/>
    <s v="No"/>
    <m/>
    <s v="No"/>
    <s v="No"/>
    <s v="No"/>
    <m/>
    <s v="Moderate obstacle"/>
    <s v="Minor obstacle"/>
    <s v="Minor obstacle"/>
    <s v="Moderate obstacle"/>
    <x v="0"/>
    <s v="Are in some case taken from books and in some case estimates"/>
    <n v="24"/>
    <n v="0"/>
    <n v="0"/>
    <x v="1"/>
    <n v="1"/>
    <n v="0.41421356237309515"/>
    <n v="1.5"/>
    <n v="4000000"/>
    <n v="0.3"/>
    <n v="0.4"/>
    <n v="12000000"/>
    <n v="0"/>
    <s v="Normal"/>
    <x v="3"/>
    <x v="2"/>
  </r>
  <r>
    <n v="1614558"/>
    <x v="3"/>
    <x v="1"/>
    <n v="20"/>
    <n v="1061"/>
    <n v="10"/>
    <x v="0"/>
    <n v="2011"/>
    <n v="10"/>
    <n v="1.6450884342193604"/>
    <n v="25000000"/>
    <n v="26000000"/>
    <n v="100"/>
    <n v="5"/>
    <n v="5"/>
    <n v="12000000"/>
    <n v="20000000"/>
    <n v="10000000"/>
    <x v="1"/>
    <s v="Yes"/>
    <x v="0"/>
    <x v="0"/>
    <n v="100"/>
    <n v="0"/>
    <n v="0"/>
    <s v="No"/>
    <m/>
    <s v="Yes"/>
    <s v="Yes"/>
    <s v="Yes"/>
    <n v="6"/>
    <s v="Very severe obstacle"/>
    <s v="Moderate obstacle"/>
    <s v="Minor obstacle"/>
    <s v="Moderate obstacle"/>
    <x v="1"/>
    <s v="Are in some case taken from books and in some case estimates"/>
    <n v="13"/>
    <n v="0"/>
    <n v="6"/>
    <x v="1"/>
    <n v="-3.8461538461538436E-2"/>
    <n v="-1.9419324309079777E-2"/>
    <n v="0"/>
    <n v="5000000"/>
    <n v="0.48"/>
    <n v="0.8"/>
    <n v="2000000"/>
    <n v="0"/>
    <s v="Normal"/>
    <x v="1"/>
    <x v="1"/>
  </r>
  <r>
    <n v="1614560"/>
    <x v="1"/>
    <x v="0"/>
    <n v="1000"/>
    <n v="2023"/>
    <n v="20"/>
    <x v="7"/>
    <n v="1997"/>
    <n v="30"/>
    <n v="1.7509959936141968"/>
    <n v="7000000000"/>
    <n v="5000000000"/>
    <n v="40"/>
    <n v="450"/>
    <n v="350"/>
    <n v="2000000000"/>
    <n v="1000000000"/>
    <n v="2500000000"/>
    <x v="4"/>
    <s v="No"/>
    <x v="0"/>
    <x v="0"/>
    <n v="0"/>
    <n v="0"/>
    <n v="0"/>
    <s v="No"/>
    <m/>
    <s v="No"/>
    <s v="No"/>
    <s v="No"/>
    <m/>
    <s v="No obstacle"/>
    <s v="No obstacle"/>
    <s v="No obstacle"/>
    <s v="No obstacle"/>
    <x v="14"/>
    <s v="Are estimates computed with some precision"/>
    <n v="27"/>
    <n v="0"/>
    <n v="0"/>
    <x v="0"/>
    <n v="0.39999999999999991"/>
    <n v="0.18321595661992318"/>
    <n v="0.28571428571428581"/>
    <n v="15555555.555555556"/>
    <n v="0.2857142857142857"/>
    <n v="0.14285714285714285"/>
    <n v="5555555.555555556"/>
    <n v="0"/>
    <s v="Normal"/>
    <x v="3"/>
    <x v="0"/>
  </r>
  <r>
    <n v="1614561"/>
    <x v="3"/>
    <x v="2"/>
    <n v="15"/>
    <n v="1061"/>
    <n v="10"/>
    <x v="0"/>
    <n v="2012"/>
    <n v="13"/>
    <n v="6.9057846069335938"/>
    <n v="76300000"/>
    <n v="57120000"/>
    <n v="40"/>
    <n v="13"/>
    <n v="9"/>
    <n v="11000000"/>
    <n v="22450000"/>
    <n v="180000000"/>
    <x v="1"/>
    <s v="Not asked (survey skip: screener employment &lt;20)"/>
    <x v="0"/>
    <x v="0"/>
    <n v="70"/>
    <n v="0"/>
    <n v="10"/>
    <s v="No"/>
    <m/>
    <s v="No"/>
    <s v="No"/>
    <s v="Yes"/>
    <n v="5"/>
    <s v="Major obstacle"/>
    <s v="Minor obstacle"/>
    <s v="Minor obstacle"/>
    <s v="Minor obstacle"/>
    <x v="9"/>
    <s v="Are estimates computed with some precision"/>
    <n v="12"/>
    <n v="0"/>
    <n v="5"/>
    <x v="1"/>
    <n v="0.33578431372549011"/>
    <n v="0.15576135673654101"/>
    <n v="0.44444444444444442"/>
    <n v="5869230.769230769"/>
    <n v="0.14416775884665792"/>
    <n v="0.29423328964613366"/>
    <n v="13846153.846153846"/>
    <n v="0"/>
    <s v="Normal"/>
    <x v="1"/>
    <x v="0"/>
  </r>
  <r>
    <n v="1614563"/>
    <x v="2"/>
    <x v="0"/>
    <n v="200"/>
    <n v="2029"/>
    <n v="20"/>
    <x v="7"/>
    <n v="2006"/>
    <n v="19"/>
    <n v="1.2616859674453735"/>
    <n v="5700000000"/>
    <n v="6700000000"/>
    <n v="50"/>
    <n v="115"/>
    <n v="95"/>
    <n v="400000000"/>
    <n v="2500000000"/>
    <n v="3500000000"/>
    <x v="1"/>
    <s v="Yes"/>
    <x v="0"/>
    <x v="0"/>
    <n v="100"/>
    <n v="0"/>
    <n v="0"/>
    <s v="No"/>
    <m/>
    <s v="No"/>
    <s v="No"/>
    <s v="Yes"/>
    <n v="15"/>
    <s v="Very severe obstacle"/>
    <s v="No obstacle"/>
    <s v="No obstacle"/>
    <m/>
    <x v="1"/>
    <s v="Are taken directly from establishment records"/>
    <n v="18"/>
    <n v="0"/>
    <n v="15"/>
    <x v="1"/>
    <n v="-0.14925373134328357"/>
    <n v="-7.764092206087303E-2"/>
    <n v="0.21052631578947367"/>
    <n v="49565217.391304351"/>
    <n v="7.0175438596491224E-2"/>
    <n v="0.43859649122807015"/>
    <n v="30434782.608695652"/>
    <n v="0"/>
    <s v="Normal"/>
    <x v="1"/>
    <x v="1"/>
  </r>
  <r>
    <n v="1614565"/>
    <x v="2"/>
    <x v="2"/>
    <n v="6"/>
    <n v="1061"/>
    <n v="10"/>
    <x v="0"/>
    <n v="2006"/>
    <n v="30"/>
    <n v="1.6504706144332886"/>
    <m/>
    <m/>
    <n v="30"/>
    <n v="5"/>
    <n v="5"/>
    <n v="12000000"/>
    <n v="60000000"/>
    <n v="180000000"/>
    <x v="1"/>
    <s v="Not asked (survey skip: screener employment &lt;20)"/>
    <x v="0"/>
    <x v="0"/>
    <n v="50"/>
    <n v="50"/>
    <n v="0"/>
    <s v="No"/>
    <m/>
    <s v="Yes"/>
    <s v="Yes"/>
    <s v="Yes"/>
    <n v="0"/>
    <s v="Minor obstacle"/>
    <s v="Major obstacle"/>
    <s v="Minor obstacle"/>
    <s v="No obstacle"/>
    <x v="0"/>
    <s v="Are estimates computed with some precision"/>
    <n v="18"/>
    <n v="0"/>
    <n v="0"/>
    <x v="1"/>
    <s v=""/>
    <s v=""/>
    <n v="0"/>
    <s v=""/>
    <s v=""/>
    <s v=""/>
    <n v="36000000"/>
    <n v="0"/>
    <s v="Normal"/>
    <x v="1"/>
    <x v="3"/>
  </r>
  <r>
    <n v="1614566"/>
    <x v="2"/>
    <x v="1"/>
    <n v="8"/>
    <n v="3100"/>
    <n v="31"/>
    <x v="3"/>
    <n v="1990"/>
    <n v="35"/>
    <n v="64.973602294921875"/>
    <n v="55000000"/>
    <m/>
    <n v="65"/>
    <n v="1"/>
    <n v="4"/>
    <m/>
    <m/>
    <n v="20000000"/>
    <x v="1"/>
    <s v="Not asked (survey skip: screener employment &lt;20)"/>
    <x v="0"/>
    <x v="0"/>
    <n v="20"/>
    <n v="60"/>
    <n v="20"/>
    <s v="No"/>
    <m/>
    <s v="Yes"/>
    <s v="Yes"/>
    <s v="Yes"/>
    <m/>
    <s v="Moderate obstacle"/>
    <s v="Major obstacle"/>
    <s v="Minor obstacle"/>
    <s v="Very severe obstacle"/>
    <x v="9"/>
    <s v="Are estimates computed with some precision"/>
    <n v="34"/>
    <n v="0"/>
    <n v="0"/>
    <x v="1"/>
    <s v=""/>
    <s v=""/>
    <n v="-0.75"/>
    <n v="55000000"/>
    <s v=""/>
    <s v=""/>
    <n v="20000000"/>
    <n v="0"/>
    <s v="Normal"/>
    <x v="0"/>
    <x v="3"/>
  </r>
  <r>
    <n v="1614570"/>
    <x v="1"/>
    <x v="0"/>
    <n v="25"/>
    <n v="1079"/>
    <n v="10"/>
    <x v="0"/>
    <n v="1996"/>
    <n v="20"/>
    <n v="1.5688178539276123"/>
    <n v="100000000"/>
    <n v="40000000"/>
    <n v="80"/>
    <n v="25"/>
    <n v="10"/>
    <n v="25000000"/>
    <n v="30000000"/>
    <n v="80000000"/>
    <x v="9"/>
    <s v="Yes"/>
    <x v="0"/>
    <x v="0"/>
    <n v="60"/>
    <n v="0"/>
    <n v="30"/>
    <s v="No"/>
    <m/>
    <s v="No"/>
    <s v="No"/>
    <s v="Yes"/>
    <n v="2"/>
    <s v="No obstacle"/>
    <s v="Minor obstacle"/>
    <s v="Minor obstacle"/>
    <s v="No obstacle"/>
    <x v="0"/>
    <s v="Are in some case taken from books and in some case estimates"/>
    <n v="28"/>
    <n v="0"/>
    <n v="2"/>
    <x v="0"/>
    <n v="1.5"/>
    <n v="0.58113883008418976"/>
    <n v="1.5"/>
    <n v="4000000"/>
    <n v="0.25"/>
    <n v="0.3"/>
    <n v="3200000"/>
    <n v="0"/>
    <s v="Normal"/>
    <x v="3"/>
    <x v="2"/>
  </r>
  <r>
    <n v="1614575"/>
    <x v="0"/>
    <x v="2"/>
    <n v="150"/>
    <n v="2392"/>
    <n v="23"/>
    <x v="8"/>
    <n v="2010"/>
    <n v="30"/>
    <n v="1.6637996435165405"/>
    <n v="400000000000"/>
    <n v="120000000000"/>
    <n v="100"/>
    <n v="150"/>
    <n v="150"/>
    <n v="10000000000"/>
    <n v="40000000000"/>
    <n v="800000000000"/>
    <x v="1"/>
    <s v="Yes"/>
    <x v="0"/>
    <x v="1"/>
    <n v="85"/>
    <n v="10"/>
    <n v="0"/>
    <s v="No"/>
    <m/>
    <s v="Yes"/>
    <s v="Yes"/>
    <s v="Yes"/>
    <n v="6"/>
    <s v="No obstacle"/>
    <s v="Very severe obstacle"/>
    <s v="Moderate obstacle"/>
    <s v="Moderate obstacle"/>
    <x v="3"/>
    <s v="Are taken directly from establishment records"/>
    <n v="14"/>
    <n v="0"/>
    <n v="6"/>
    <x v="1"/>
    <n v="2.3333333333333335"/>
    <n v="0.8257418583505538"/>
    <n v="0"/>
    <n v="2666666666.6666665"/>
    <n v="2.5000000000000001E-2"/>
    <n v="0.1"/>
    <n v="5333333333.333333"/>
    <n v="0"/>
    <s v="Review"/>
    <x v="1"/>
    <x v="2"/>
  </r>
  <r>
    <n v="1614580"/>
    <x v="0"/>
    <x v="2"/>
    <n v="9"/>
    <n v="2511"/>
    <n v="25"/>
    <x v="6"/>
    <n v="2011"/>
    <n v="14"/>
    <n v="1.6637996435165405"/>
    <n v="255000000"/>
    <n v="200000000"/>
    <n v="80"/>
    <n v="7"/>
    <n v="7"/>
    <n v="27000000"/>
    <n v="50000000"/>
    <n v="70000000"/>
    <x v="1"/>
    <s v="Not asked (survey skip: screener employment &lt;20)"/>
    <x v="0"/>
    <x v="0"/>
    <n v="70"/>
    <n v="0"/>
    <n v="0"/>
    <s v="No"/>
    <m/>
    <s v="No"/>
    <s v="No"/>
    <s v="Yes"/>
    <n v="2"/>
    <s v="Moderate obstacle"/>
    <s v="Major obstacle"/>
    <s v="Minor obstacle"/>
    <s v="Minor obstacle"/>
    <x v="3"/>
    <s v="Are taken directly from establishment records"/>
    <n v="13"/>
    <n v="0"/>
    <n v="2"/>
    <x v="1"/>
    <n v="0.27499999999999991"/>
    <n v="0.12915897906362139"/>
    <n v="0"/>
    <n v="36428571.428571425"/>
    <n v="0.10588235294117647"/>
    <n v="0.19607843137254902"/>
    <n v="10000000"/>
    <n v="0"/>
    <s v="Normal"/>
    <x v="1"/>
    <x v="0"/>
  </r>
  <r>
    <n v="1614581"/>
    <x v="3"/>
    <x v="1"/>
    <n v="25"/>
    <n v="2220"/>
    <n v="22"/>
    <x v="16"/>
    <n v="2015"/>
    <n v="16"/>
    <n v="1.6450884342193604"/>
    <m/>
    <m/>
    <n v="20"/>
    <n v="10"/>
    <n v="10"/>
    <m/>
    <m/>
    <m/>
    <x v="1"/>
    <s v="Yes"/>
    <x v="0"/>
    <x v="0"/>
    <n v="100"/>
    <n v="0"/>
    <n v="0"/>
    <s v="Yes"/>
    <n v="2460000"/>
    <s v="No"/>
    <s v="No"/>
    <s v="Yes"/>
    <n v="8"/>
    <s v="Moderate obstacle"/>
    <s v="Minor obstacle"/>
    <s v="No obstacle"/>
    <s v="No obstacle"/>
    <x v="0"/>
    <s v="Are estimates computed with some precision"/>
    <n v="9"/>
    <n v="2460000"/>
    <n v="8"/>
    <x v="1"/>
    <s v=""/>
    <s v=""/>
    <n v="0"/>
    <s v=""/>
    <s v=""/>
    <s v=""/>
    <s v=""/>
    <s v=""/>
    <s v="Normal"/>
    <x v="2"/>
    <x v="3"/>
  </r>
  <r>
    <n v="1614583"/>
    <x v="1"/>
    <x v="0"/>
    <n v="200"/>
    <n v="1030"/>
    <n v="10"/>
    <x v="0"/>
    <n v="1996"/>
    <n v="30"/>
    <n v="1.5688178539276123"/>
    <n v="300000000"/>
    <n v="50000000"/>
    <n v="80"/>
    <n v="50"/>
    <n v="20"/>
    <n v="200000000"/>
    <n v="50000000"/>
    <m/>
    <x v="1"/>
    <s v="Yes"/>
    <x v="0"/>
    <x v="1"/>
    <n v="100"/>
    <n v="0"/>
    <n v="0"/>
    <s v="No"/>
    <m/>
    <s v="No"/>
    <s v="No"/>
    <s v="Yes"/>
    <n v="2"/>
    <s v="No obstacle"/>
    <s v="Major obstacle"/>
    <s v="No obstacle"/>
    <s v="Minor obstacle"/>
    <x v="0"/>
    <s v="Are in some case taken from books and in some case estimates"/>
    <n v="28"/>
    <n v="0"/>
    <n v="2"/>
    <x v="1"/>
    <n v="5"/>
    <n v="1.4494897427831779"/>
    <n v="1.5"/>
    <n v="6000000"/>
    <n v="0.66666666666666663"/>
    <n v="0.16666666666666666"/>
    <s v=""/>
    <n v="0"/>
    <s v="Normal"/>
    <x v="3"/>
    <x v="2"/>
  </r>
  <r>
    <n v="1614584"/>
    <x v="1"/>
    <x v="0"/>
    <n v="636"/>
    <n v="2022"/>
    <n v="20"/>
    <x v="7"/>
    <n v="1963"/>
    <n v="32"/>
    <n v="1.5749640464782715"/>
    <n v="7400000000"/>
    <n v="6350000000"/>
    <n v="100"/>
    <n v="248"/>
    <n v="220"/>
    <n v="2400000000"/>
    <n v="4320000000"/>
    <n v="3700000000"/>
    <x v="18"/>
    <s v="Yes"/>
    <x v="1"/>
    <x v="0"/>
    <n v="75"/>
    <n v="0"/>
    <n v="25"/>
    <s v="Yes"/>
    <n v="300000000"/>
    <s v="No"/>
    <s v="No"/>
    <s v="Yes"/>
    <n v="4"/>
    <s v="Major obstacle"/>
    <s v="Minor obstacle"/>
    <s v="Minor obstacle"/>
    <s v="Very severe obstacle"/>
    <x v="6"/>
    <s v="Are in some case taken from books and in some case estimates"/>
    <n v="61"/>
    <n v="300000000"/>
    <n v="4"/>
    <x v="0"/>
    <n v="0.16535433070866135"/>
    <n v="7.951578529851111E-2"/>
    <n v="0.1272727272727272"/>
    <n v="29838709.677419353"/>
    <n v="0.32432432432432434"/>
    <n v="0.58378378378378382"/>
    <n v="14919354.838709677"/>
    <n v="4.0540540540540543E-2"/>
    <s v="Normal"/>
    <x v="0"/>
    <x v="0"/>
  </r>
  <r>
    <n v="1614585"/>
    <x v="1"/>
    <x v="0"/>
    <n v="45"/>
    <n v="1811"/>
    <n v="18"/>
    <x v="4"/>
    <n v="2013"/>
    <n v="15"/>
    <n v="2.0788314342498779"/>
    <n v="5100000000"/>
    <n v="4950000000"/>
    <n v="75"/>
    <n v="45"/>
    <n v="45"/>
    <n v="1620000000"/>
    <n v="2155000000"/>
    <n v="7400000000"/>
    <x v="1"/>
    <s v="Yes"/>
    <x v="0"/>
    <x v="0"/>
    <n v="40"/>
    <n v="40"/>
    <n v="20"/>
    <s v="Yes"/>
    <n v="60000000"/>
    <s v="Yes"/>
    <s v="Yes"/>
    <s v="Yes"/>
    <n v="12"/>
    <s v="Very severe obstacle"/>
    <s v="Major obstacle"/>
    <s v="No obstacle"/>
    <s v="Very severe obstacle"/>
    <x v="4"/>
    <s v="Are in some case taken from books and in some case estimates"/>
    <n v="11"/>
    <n v="60000000"/>
    <n v="12"/>
    <x v="1"/>
    <n v="3.0303030303030276E-2"/>
    <n v="1.5038437845104502E-2"/>
    <n v="0"/>
    <n v="113333333.33333333"/>
    <n v="0.31764705882352939"/>
    <n v="0.42254901960784313"/>
    <n v="164444444.44444445"/>
    <n v="1.1764705882352941E-2"/>
    <s v="Normal"/>
    <x v="1"/>
    <x v="1"/>
  </r>
  <r>
    <n v="1614589"/>
    <x v="0"/>
    <x v="0"/>
    <n v="800"/>
    <n v="1061"/>
    <n v="10"/>
    <x v="0"/>
    <n v="2004"/>
    <n v="20"/>
    <n v="1"/>
    <n v="4000000000"/>
    <n v="3000000000"/>
    <n v="60"/>
    <n v="220"/>
    <n v="200"/>
    <n v="2000000000"/>
    <n v="200000000"/>
    <n v="12000000000"/>
    <x v="1"/>
    <s v="Yes"/>
    <x v="1"/>
    <x v="0"/>
    <n v="40"/>
    <n v="40"/>
    <n v="20"/>
    <s v="Yes"/>
    <n v="200000000"/>
    <s v="Yes"/>
    <s v="Yes"/>
    <s v="Yes"/>
    <n v="10"/>
    <s v="Minor obstacle"/>
    <s v="Major obstacle"/>
    <s v="Minor obstacle"/>
    <s v="Major obstacle"/>
    <x v="0"/>
    <s v="Are in some case taken from books and in some case estimates"/>
    <n v="20"/>
    <n v="200000000"/>
    <n v="10"/>
    <x v="1"/>
    <n v="0.33333333333333326"/>
    <n v="0.15470053837925146"/>
    <n v="0.10000000000000009"/>
    <n v="18181818.181818184"/>
    <n v="0.5"/>
    <n v="0.05"/>
    <n v="54545454.545454547"/>
    <n v="0.05"/>
    <s v="Normal"/>
    <x v="3"/>
    <x v="0"/>
  </r>
  <r>
    <n v="1614591"/>
    <x v="0"/>
    <x v="1"/>
    <n v="10"/>
    <n v="1061"/>
    <n v="10"/>
    <x v="0"/>
    <n v="1998"/>
    <n v="27"/>
    <n v="7.8952765464782715"/>
    <n v="45000000"/>
    <n v="42000000"/>
    <n v="70"/>
    <n v="10"/>
    <n v="10"/>
    <n v="20000000"/>
    <n v="15000000"/>
    <n v="25000000"/>
    <x v="1"/>
    <s v="Not asked (survey skip: screener employment &lt;20)"/>
    <x v="1"/>
    <x v="1"/>
    <n v="20"/>
    <n v="70"/>
    <n v="0"/>
    <s v="No"/>
    <m/>
    <s v="Yes"/>
    <s v="No"/>
    <s v="Yes"/>
    <n v="22"/>
    <s v="Very severe obstacle"/>
    <s v="Very severe obstacle"/>
    <s v="No obstacle"/>
    <s v="Minor obstacle"/>
    <x v="1"/>
    <s v="Are in some case taken from books and in some case estimates"/>
    <n v="26"/>
    <n v="0"/>
    <n v="22"/>
    <x v="1"/>
    <n v="7.1428571428571397E-2"/>
    <n v="3.5098339013531321E-2"/>
    <n v="0"/>
    <n v="4500000"/>
    <n v="0.44444444444444442"/>
    <n v="0.33333333333333331"/>
    <n v="2500000"/>
    <n v="0"/>
    <s v="Normal"/>
    <x v="3"/>
    <x v="1"/>
  </r>
  <r>
    <n v="1614594"/>
    <x v="3"/>
    <x v="2"/>
    <n v="5"/>
    <n v="1811"/>
    <n v="18"/>
    <x v="4"/>
    <n v="2004"/>
    <n v="20"/>
    <n v="9.1390228271484375"/>
    <n v="200000000"/>
    <n v="180000000"/>
    <n v="100"/>
    <n v="5"/>
    <n v="6"/>
    <n v="9600000"/>
    <n v="60000000"/>
    <n v="160000000"/>
    <x v="1"/>
    <s v="Not asked (survey skip: screener employment &lt;20)"/>
    <x v="0"/>
    <x v="0"/>
    <n v="15"/>
    <n v="20"/>
    <n v="0"/>
    <s v="Yes"/>
    <n v="11000000"/>
    <s v="No"/>
    <s v="No"/>
    <s v="Yes"/>
    <n v="4"/>
    <s v="Major obstacle"/>
    <s v="Minor obstacle"/>
    <s v="Minor obstacle"/>
    <s v="Very severe obstacle"/>
    <x v="3"/>
    <s v="Are taken directly from establishment records"/>
    <n v="20"/>
    <n v="11000000"/>
    <n v="4"/>
    <x v="1"/>
    <n v="0.11111111111111116"/>
    <n v="5.4092553389459841E-2"/>
    <n v="-0.16666666666666663"/>
    <n v="40000000"/>
    <n v="4.8000000000000001E-2"/>
    <n v="0.3"/>
    <n v="32000000"/>
    <n v="5.5E-2"/>
    <s v="Normal"/>
    <x v="3"/>
    <x v="0"/>
  </r>
  <r>
    <n v="1614598"/>
    <x v="2"/>
    <x v="2"/>
    <n v="25"/>
    <n v="1071"/>
    <n v="10"/>
    <x v="0"/>
    <n v="1990"/>
    <n v="35"/>
    <n v="1.6504706144332886"/>
    <n v="160000000"/>
    <n v="80000000"/>
    <n v="75"/>
    <n v="16"/>
    <n v="8"/>
    <n v="40800000"/>
    <n v="100000000"/>
    <n v="200000000"/>
    <x v="1"/>
    <s v="Yes"/>
    <x v="0"/>
    <x v="0"/>
    <n v="60"/>
    <n v="0"/>
    <n v="40"/>
    <s v="Yes"/>
    <n v="0"/>
    <s v="Yes"/>
    <s v="No"/>
    <s v="Yes"/>
    <n v="3"/>
    <s v="Moderate obstacle"/>
    <s v="Major obstacle"/>
    <s v="Moderate obstacle"/>
    <s v="Major obstacle"/>
    <x v="3"/>
    <s v="Are in some case taken from books and in some case estimates"/>
    <n v="34"/>
    <n v="0"/>
    <n v="3"/>
    <x v="1"/>
    <n v="1"/>
    <n v="0.41421356237309515"/>
    <n v="1"/>
    <n v="10000000"/>
    <n v="0.255"/>
    <n v="0.625"/>
    <n v="12500000"/>
    <n v="0"/>
    <s v="Normal"/>
    <x v="0"/>
    <x v="2"/>
  </r>
  <r>
    <n v="1614601"/>
    <x v="2"/>
    <x v="2"/>
    <n v="15"/>
    <n v="1079"/>
    <n v="10"/>
    <x v="0"/>
    <n v="2015"/>
    <n v="3"/>
    <n v="1.6504706144332886"/>
    <n v="270000000"/>
    <n v="250000000"/>
    <n v="90"/>
    <n v="10"/>
    <n v="8"/>
    <n v="6000000"/>
    <n v="0"/>
    <n v="200000000"/>
    <x v="1"/>
    <s v="Not asked (survey skip: screener employment &lt;20)"/>
    <x v="0"/>
    <x v="0"/>
    <n v="70"/>
    <n v="0"/>
    <n v="0"/>
    <s v="Yes"/>
    <n v="0"/>
    <s v="Yes"/>
    <s v="Yes"/>
    <s v="Yes"/>
    <n v="100"/>
    <s v="Very severe obstacle"/>
    <s v="Major obstacle"/>
    <s v="Moderate obstacle"/>
    <s v="Moderate obstacle"/>
    <x v="1"/>
    <s v="Are estimates computed with some precision"/>
    <n v="9"/>
    <n v="0"/>
    <n v="100"/>
    <x v="1"/>
    <n v="8.0000000000000071E-2"/>
    <n v="3.9230484541326494E-2"/>
    <n v="0.25"/>
    <n v="27000000"/>
    <n v="2.2222222222222223E-2"/>
    <n v="0"/>
    <n v="20000000"/>
    <n v="0"/>
    <s v="Normal"/>
    <x v="2"/>
    <x v="1"/>
  </r>
  <r>
    <n v="1614603"/>
    <x v="1"/>
    <x v="0"/>
    <n v="149"/>
    <n v="1020"/>
    <n v="10"/>
    <x v="0"/>
    <n v="2008"/>
    <n v="25"/>
    <n v="1.5688178539276123"/>
    <n v="89770000000"/>
    <n v="45000000000"/>
    <n v="60"/>
    <n v="131"/>
    <n v="96"/>
    <n v="1956762000"/>
    <n v="48000000000"/>
    <n v="2130726400"/>
    <x v="19"/>
    <s v="Yes"/>
    <x v="0"/>
    <x v="0"/>
    <n v="50"/>
    <n v="50"/>
    <n v="0"/>
    <s v="Yes"/>
    <n v="83000000"/>
    <s v="No"/>
    <s v="Yes"/>
    <s v="Yes"/>
    <n v="2"/>
    <s v="Moderate obstacle"/>
    <s v="Very severe obstacle"/>
    <s v="Minor obstacle"/>
    <s v="Moderate obstacle"/>
    <x v="3"/>
    <s v="Are taken directly from establishment records"/>
    <n v="16"/>
    <n v="83000000"/>
    <n v="2"/>
    <x v="0"/>
    <n v="0.99488888888888893"/>
    <n v="0.4124053557279117"/>
    <n v="0.36458333333333326"/>
    <n v="685267175.57251906"/>
    <n v="2.1797504734321044E-2"/>
    <n v="0.53469978834800047"/>
    <n v="16265087.022900764"/>
    <n v="9.2458505068508407E-4"/>
    <s v="Review"/>
    <x v="1"/>
    <x v="2"/>
  </r>
  <r>
    <n v="1614604"/>
    <x v="2"/>
    <x v="2"/>
    <n v="15"/>
    <n v="3100"/>
    <n v="31"/>
    <x v="3"/>
    <n v="2019"/>
    <n v="12"/>
    <n v="2.6198341846466064"/>
    <n v="350000000"/>
    <n v="380000000"/>
    <n v="10"/>
    <n v="5"/>
    <n v="5"/>
    <n v="75000000"/>
    <n v="210000000"/>
    <n v="35000000"/>
    <x v="1"/>
    <s v="Not asked (survey skip: screener employment &lt;20)"/>
    <x v="0"/>
    <x v="1"/>
    <n v="15"/>
    <n v="0"/>
    <n v="30"/>
    <s v="Yes"/>
    <n v="1000000"/>
    <s v="Yes"/>
    <s v="No"/>
    <s v="Yes"/>
    <n v="5"/>
    <s v="Moderate obstacle"/>
    <s v="Moderate obstacle"/>
    <s v="Minor obstacle"/>
    <s v="Major obstacle"/>
    <x v="5"/>
    <s v="Are estimates computed with some precision"/>
    <n v="5"/>
    <n v="1000000"/>
    <n v="5"/>
    <x v="1"/>
    <n v="-7.8947368421052655E-2"/>
    <n v="-4.0285130062606922E-2"/>
    <n v="0"/>
    <n v="70000000"/>
    <n v="0.21428571428571427"/>
    <n v="0.6"/>
    <n v="7000000"/>
    <n v="2.8571428571428571E-3"/>
    <s v="Normal"/>
    <x v="2"/>
    <x v="1"/>
  </r>
  <r>
    <n v="1614607"/>
    <x v="2"/>
    <x v="2"/>
    <n v="5"/>
    <n v="2511"/>
    <n v="25"/>
    <x v="6"/>
    <n v="2010"/>
    <n v="15"/>
    <n v="2.6198341846466064"/>
    <n v="5000000"/>
    <n v="10000000"/>
    <n v="30"/>
    <n v="4"/>
    <n v="5"/>
    <m/>
    <n v="3000000"/>
    <n v="2000000"/>
    <x v="1"/>
    <s v="Not asked (survey skip: screener employment &lt;20)"/>
    <x v="0"/>
    <x v="0"/>
    <n v="20"/>
    <n v="0"/>
    <n v="10"/>
    <s v="No"/>
    <m/>
    <s v="Yes"/>
    <s v="Yes"/>
    <s v="Yes"/>
    <n v="5"/>
    <s v="Minor obstacle"/>
    <s v="Major obstacle"/>
    <s v="No obstacle"/>
    <s v="Major obstacle"/>
    <x v="0"/>
    <s v="Are estimates computed with some precision"/>
    <n v="14"/>
    <n v="0"/>
    <n v="5"/>
    <x v="1"/>
    <n v="-0.5"/>
    <n v="-0.29289321881345243"/>
    <n v="-0.19999999999999996"/>
    <n v="1250000"/>
    <s v=""/>
    <n v="0.6"/>
    <n v="500000"/>
    <n v="0"/>
    <s v="Normal"/>
    <x v="1"/>
    <x v="1"/>
  </r>
  <r>
    <n v="1614611"/>
    <x v="2"/>
    <x v="2"/>
    <n v="45"/>
    <n v="2220"/>
    <n v="22"/>
    <x v="16"/>
    <n v="2017"/>
    <m/>
    <n v="2.6198341846466064"/>
    <n v="120000000"/>
    <m/>
    <n v="35"/>
    <n v="12"/>
    <n v="6"/>
    <n v="50000000"/>
    <n v="10000000"/>
    <n v="100000000"/>
    <x v="1"/>
    <s v="Yes"/>
    <x v="1"/>
    <x v="0"/>
    <n v="20"/>
    <n v="0"/>
    <n v="50"/>
    <s v="No"/>
    <m/>
    <s v="No"/>
    <s v="No"/>
    <s v="Yes"/>
    <n v="3"/>
    <s v="Major obstacle"/>
    <s v="Major obstacle"/>
    <s v="Minor obstacle"/>
    <m/>
    <x v="1"/>
    <s v="Are estimates computed with some precision"/>
    <n v="7"/>
    <n v="0"/>
    <n v="3"/>
    <x v="1"/>
    <s v=""/>
    <s v=""/>
    <n v="1"/>
    <n v="10000000"/>
    <n v="0.41666666666666669"/>
    <n v="8.3333333333333329E-2"/>
    <n v="8333333.333333333"/>
    <n v="0"/>
    <s v="Normal"/>
    <x v="2"/>
    <x v="3"/>
  </r>
  <r>
    <n v="1614612"/>
    <x v="1"/>
    <x v="0"/>
    <n v="3000"/>
    <n v="3290"/>
    <n v="32"/>
    <x v="14"/>
    <n v="2003"/>
    <n v="22"/>
    <n v="1.5749640464782715"/>
    <m/>
    <m/>
    <m/>
    <n v="2000"/>
    <n v="1200"/>
    <m/>
    <m/>
    <m/>
    <x v="8"/>
    <s v="Yes"/>
    <x v="1"/>
    <x v="1"/>
    <n v="100"/>
    <n v="0"/>
    <n v="0"/>
    <s v="Yes"/>
    <m/>
    <s v="No"/>
    <s v="No"/>
    <s v="Yes"/>
    <n v="2"/>
    <s v="Moderate obstacle"/>
    <s v="No obstacle"/>
    <s v="Minor obstacle"/>
    <s v="Major obstacle"/>
    <x v="0"/>
    <s v="Are estimates computed with some precision"/>
    <n v="21"/>
    <n v="0"/>
    <n v="2"/>
    <x v="0"/>
    <s v=""/>
    <s v=""/>
    <n v="0.66666666666666674"/>
    <s v=""/>
    <s v=""/>
    <s v=""/>
    <s v=""/>
    <s v=""/>
    <s v="Normal"/>
    <x v="3"/>
    <x v="3"/>
  </r>
  <r>
    <n v="1614615"/>
    <x v="0"/>
    <x v="0"/>
    <n v="400"/>
    <n v="1621"/>
    <n v="16"/>
    <x v="10"/>
    <n v="1993"/>
    <n v="15"/>
    <n v="1"/>
    <n v="1800000000"/>
    <n v="1250000000"/>
    <n v="35"/>
    <n v="350"/>
    <n v="350"/>
    <n v="200000000"/>
    <n v="68500000"/>
    <n v="500000000"/>
    <x v="1"/>
    <s v="No"/>
    <x v="1"/>
    <x v="0"/>
    <n v="60"/>
    <n v="0"/>
    <n v="0"/>
    <s v="No"/>
    <m/>
    <s v="No"/>
    <s v="No"/>
    <s v="Yes"/>
    <n v="6"/>
    <s v="Major obstacle"/>
    <s v="Major obstacle"/>
    <s v="No obstacle"/>
    <s v="Minor obstacle"/>
    <x v="3"/>
    <s v="Are in some case taken from books and in some case estimates"/>
    <n v="31"/>
    <n v="0"/>
    <n v="6"/>
    <x v="1"/>
    <n v="0.43999999999999995"/>
    <n v="0.19999999999999996"/>
    <n v="0"/>
    <n v="5142857.1428571427"/>
    <n v="0.1111111111111111"/>
    <n v="3.8055555555555558E-2"/>
    <n v="1428571.4285714286"/>
    <n v="0"/>
    <s v="Normal"/>
    <x v="0"/>
    <x v="0"/>
  </r>
  <r>
    <n v="1614616"/>
    <x v="3"/>
    <x v="2"/>
    <n v="5"/>
    <n v="1811"/>
    <n v="18"/>
    <x v="4"/>
    <n v="1996"/>
    <n v="10"/>
    <n v="6.9057846069335938"/>
    <n v="45000000"/>
    <n v="40000000"/>
    <n v="100"/>
    <n v="5"/>
    <n v="3"/>
    <n v="7000000"/>
    <n v="3000000"/>
    <n v="150000000"/>
    <x v="1"/>
    <s v="Not asked (survey skip: screener employment &lt;20)"/>
    <x v="0"/>
    <x v="0"/>
    <n v="60"/>
    <n v="40"/>
    <n v="0"/>
    <s v="Yes"/>
    <n v="8000000"/>
    <s v="Yes"/>
    <s v="Yes"/>
    <s v="Yes"/>
    <n v="12"/>
    <s v="Major obstacle"/>
    <s v="Minor obstacle"/>
    <s v="Minor obstacle"/>
    <s v="Minor obstacle"/>
    <x v="0"/>
    <s v="Are in some case taken from books and in some case estimates"/>
    <n v="28"/>
    <n v="8000000"/>
    <n v="12"/>
    <x v="1"/>
    <n v="0.125"/>
    <n v="6.0660171779821193E-2"/>
    <n v="0.66666666666666674"/>
    <n v="9000000"/>
    <n v="0.15555555555555556"/>
    <n v="6.6666666666666666E-2"/>
    <n v="30000000"/>
    <n v="0.17777777777777778"/>
    <s v="Normal"/>
    <x v="3"/>
    <x v="0"/>
  </r>
  <r>
    <n v="1614620"/>
    <x v="1"/>
    <x v="0"/>
    <n v="325"/>
    <n v="1702"/>
    <n v="17"/>
    <x v="20"/>
    <n v="2004"/>
    <n v="21"/>
    <n v="1.5749640464782715"/>
    <n v="85000000000"/>
    <n v="80000000000"/>
    <n v="70"/>
    <n v="180"/>
    <n v="160"/>
    <n v="2000000000"/>
    <n v="57600000000"/>
    <n v="7200000000"/>
    <x v="4"/>
    <s v="Yes"/>
    <x v="1"/>
    <x v="1"/>
    <n v="20"/>
    <n v="80"/>
    <n v="0"/>
    <s v="Yes"/>
    <n v="1800000000"/>
    <s v="Yes"/>
    <s v="Yes"/>
    <s v="Yes"/>
    <n v="8"/>
    <s v="Major obstacle"/>
    <s v="Moderate obstacle"/>
    <s v="No obstacle"/>
    <s v="Moderate obstacle"/>
    <x v="0"/>
    <s v="Are estimates computed with some precision"/>
    <n v="20"/>
    <n v="1800000000"/>
    <n v="8"/>
    <x v="0"/>
    <n v="6.25E-2"/>
    <n v="3.0776406404415146E-2"/>
    <n v="0.125"/>
    <n v="472222222.22222221"/>
    <n v="2.3529411764705882E-2"/>
    <n v="0.67764705882352938"/>
    <n v="40000000"/>
    <n v="2.1176470588235293E-2"/>
    <s v="Review"/>
    <x v="3"/>
    <x v="1"/>
  </r>
  <r>
    <n v="1614621"/>
    <x v="0"/>
    <x v="2"/>
    <n v="15"/>
    <n v="2394"/>
    <n v="23"/>
    <x v="8"/>
    <n v="2005"/>
    <n v="20"/>
    <n v="1.6637996435165405"/>
    <n v="500000000"/>
    <n v="400000000"/>
    <n v="90"/>
    <n v="11"/>
    <n v="11"/>
    <n v="54000000"/>
    <n v="70000000"/>
    <n v="100000000"/>
    <x v="1"/>
    <s v="Not asked (survey skip: screener employment &lt;20)"/>
    <x v="0"/>
    <x v="0"/>
    <n v="70"/>
    <n v="0"/>
    <n v="30"/>
    <s v="No"/>
    <m/>
    <s v="No"/>
    <s v="No"/>
    <s v="Yes"/>
    <n v="3"/>
    <s v="Moderate obstacle"/>
    <s v="Major obstacle"/>
    <s v="No obstacle"/>
    <s v="Minor obstacle"/>
    <x v="3"/>
    <s v="Are taken directly from establishment records"/>
    <n v="19"/>
    <n v="0"/>
    <n v="3"/>
    <x v="1"/>
    <n v="0.25"/>
    <n v="0.1180339887498949"/>
    <n v="0"/>
    <n v="45454545.454545453"/>
    <n v="0.108"/>
    <n v="0.14000000000000001"/>
    <n v="9090909.0909090918"/>
    <n v="0"/>
    <s v="Normal"/>
    <x v="1"/>
    <x v="0"/>
  </r>
  <r>
    <n v="1614624"/>
    <x v="0"/>
    <x v="2"/>
    <n v="5"/>
    <n v="2511"/>
    <n v="25"/>
    <x v="6"/>
    <n v="2009"/>
    <n v="15"/>
    <n v="1.6637996435165405"/>
    <n v="77000000"/>
    <n v="16000000"/>
    <n v="70"/>
    <n v="5"/>
    <n v="5"/>
    <n v="5000000"/>
    <n v="60000000"/>
    <n v="100000000"/>
    <x v="1"/>
    <s v="Not asked (survey skip: screener employment &lt;20)"/>
    <x v="0"/>
    <x v="0"/>
    <n v="100"/>
    <n v="0"/>
    <n v="0"/>
    <s v="Yes"/>
    <n v="2500000"/>
    <s v="No"/>
    <s v="No"/>
    <s v="Yes"/>
    <n v="7"/>
    <s v="Minor obstacle"/>
    <s v="No obstacle"/>
    <s v="No obstacle"/>
    <s v="Very severe obstacle"/>
    <x v="8"/>
    <s v="Are taken directly from establishment records"/>
    <n v="15"/>
    <n v="2500000"/>
    <n v="7"/>
    <x v="1"/>
    <n v="3.8125"/>
    <n v="1.1937410968480306"/>
    <n v="0"/>
    <n v="15400000"/>
    <n v="6.4935064935064929E-2"/>
    <n v="0.77922077922077926"/>
    <n v="20000000"/>
    <n v="3.2467532467532464E-2"/>
    <s v="Normal"/>
    <x v="1"/>
    <x v="2"/>
  </r>
  <r>
    <n v="1614629"/>
    <x v="2"/>
    <x v="2"/>
    <n v="5"/>
    <n v="1410"/>
    <n v="14"/>
    <x v="1"/>
    <n v="2014"/>
    <n v="10"/>
    <n v="2.6198341846466064"/>
    <n v="5000000"/>
    <n v="2800000"/>
    <n v="2"/>
    <n v="5"/>
    <n v="5"/>
    <n v="2400000"/>
    <n v="500000"/>
    <n v="400000"/>
    <x v="1"/>
    <s v="Not asked (survey skip: screener employment &lt;20)"/>
    <x v="0"/>
    <x v="0"/>
    <n v="100"/>
    <n v="0"/>
    <n v="0"/>
    <s v="No"/>
    <m/>
    <s v="No"/>
    <s v="No"/>
    <s v="No"/>
    <m/>
    <s v="No obstacle"/>
    <s v="Very severe obstacle"/>
    <s v="No obstacle"/>
    <s v="Major obstacle"/>
    <x v="3"/>
    <s v="Are estimates computed with some precision"/>
    <n v="10"/>
    <n v="0"/>
    <n v="0"/>
    <x v="1"/>
    <n v="0.78571428571428581"/>
    <n v="0.33630620956212187"/>
    <n v="0"/>
    <n v="1000000"/>
    <n v="0.48"/>
    <n v="0.1"/>
    <n v="80000"/>
    <n v="0"/>
    <s v="Normal"/>
    <x v="1"/>
    <x v="2"/>
  </r>
  <r>
    <n v="1614631"/>
    <x v="1"/>
    <x v="1"/>
    <n v="8"/>
    <n v="2511"/>
    <n v="25"/>
    <x v="6"/>
    <n v="2018"/>
    <n v="6"/>
    <n v="259.94696044921875"/>
    <n v="15000000"/>
    <n v="12000000"/>
    <n v="80"/>
    <n v="8"/>
    <n v="5"/>
    <n v="1440000"/>
    <n v="7500000"/>
    <m/>
    <x v="1"/>
    <s v="Not asked (survey skip: screener employment &lt;20)"/>
    <x v="0"/>
    <x v="0"/>
    <n v="100"/>
    <n v="0"/>
    <n v="0"/>
    <s v="No"/>
    <m/>
    <s v="No"/>
    <s v="No"/>
    <s v="Yes"/>
    <n v="1"/>
    <s v="Very severe obstacle"/>
    <s v="No obstacle"/>
    <s v="Minor obstacle"/>
    <s v="No obstacle"/>
    <x v="1"/>
    <s v="Are in some case taken from books and in some case estimates"/>
    <n v="6"/>
    <n v="0"/>
    <n v="1"/>
    <x v="1"/>
    <n v="0.25"/>
    <n v="0.1180339887498949"/>
    <n v="0.60000000000000009"/>
    <n v="1875000"/>
    <n v="9.6000000000000002E-2"/>
    <n v="0.5"/>
    <s v=""/>
    <n v="0"/>
    <s v="Normal"/>
    <x v="2"/>
    <x v="0"/>
  </r>
  <r>
    <n v="1614633"/>
    <x v="1"/>
    <x v="0"/>
    <n v="400"/>
    <n v="2410"/>
    <n v="24"/>
    <x v="5"/>
    <n v="2013"/>
    <n v="35"/>
    <n v="1.5749640464782715"/>
    <n v="10000000000"/>
    <n v="12500000000"/>
    <n v="60"/>
    <n v="350"/>
    <n v="326"/>
    <n v="1400000000"/>
    <n v="2000000000"/>
    <n v="800000000"/>
    <x v="20"/>
    <s v="Yes"/>
    <x v="0"/>
    <x v="0"/>
    <n v="50"/>
    <n v="40"/>
    <n v="0"/>
    <s v="No"/>
    <m/>
    <s v="Yes"/>
    <s v="No"/>
    <s v="Yes"/>
    <n v="6"/>
    <s v="Moderate obstacle"/>
    <s v="Very severe obstacle"/>
    <s v="Minor obstacle"/>
    <s v="Minor obstacle"/>
    <x v="3"/>
    <s v="Are in some case taken from books and in some case estimates"/>
    <n v="11"/>
    <n v="0"/>
    <n v="6"/>
    <x v="0"/>
    <n v="-0.19999999999999996"/>
    <n v="-0.10557280900008414"/>
    <n v="7.361963190184051E-2"/>
    <n v="28571428.571428571"/>
    <n v="0.14000000000000001"/>
    <n v="0.2"/>
    <n v="2285714.2857142859"/>
    <n v="0"/>
    <s v="Review"/>
    <x v="1"/>
    <x v="1"/>
  </r>
  <r>
    <n v="1614636"/>
    <x v="0"/>
    <x v="0"/>
    <n v="300"/>
    <n v="2410"/>
    <n v="24"/>
    <x v="5"/>
    <n v="2010"/>
    <n v="12"/>
    <n v="1"/>
    <n v="40000000000"/>
    <n v="37500000000"/>
    <n v="65"/>
    <n v="300"/>
    <n v="250"/>
    <n v="2000000000"/>
    <n v="10000000000"/>
    <n v="12000000000"/>
    <x v="1"/>
    <s v="Yes"/>
    <x v="1"/>
    <x v="0"/>
    <n v="50"/>
    <n v="50"/>
    <n v="0"/>
    <s v="No"/>
    <m/>
    <s v="Yes"/>
    <s v="Yes"/>
    <s v="Yes"/>
    <n v="30"/>
    <s v="Very severe obstacle"/>
    <s v="Very severe obstacle"/>
    <s v="Minor obstacle"/>
    <s v="No obstacle"/>
    <x v="2"/>
    <s v="Are estimates computed with some precision"/>
    <n v="14"/>
    <n v="0"/>
    <n v="30"/>
    <x v="1"/>
    <n v="6.6666666666666652E-2"/>
    <n v="3.2795558988644391E-2"/>
    <n v="0.19999999999999996"/>
    <n v="133333333.33333333"/>
    <n v="0.05"/>
    <n v="0.25"/>
    <n v="40000000"/>
    <n v="0"/>
    <s v="Review"/>
    <x v="1"/>
    <x v="1"/>
  </r>
  <r>
    <n v="1614637"/>
    <x v="2"/>
    <x v="2"/>
    <n v="250"/>
    <n v="1071"/>
    <n v="10"/>
    <x v="0"/>
    <n v="2017"/>
    <n v="30"/>
    <n v="1.6504706144332886"/>
    <n v="3000000000"/>
    <n v="2000000000"/>
    <n v="85"/>
    <n v="50"/>
    <n v="25"/>
    <n v="1000000000"/>
    <n v="500000000"/>
    <n v="800000000"/>
    <x v="1"/>
    <s v="Yes"/>
    <x v="1"/>
    <x v="1"/>
    <n v="50"/>
    <n v="10"/>
    <n v="40"/>
    <s v="Yes"/>
    <n v="45000000"/>
    <s v="Yes"/>
    <s v="Yes"/>
    <s v="Yes"/>
    <n v="5"/>
    <s v="Very severe obstacle"/>
    <s v="Major obstacle"/>
    <s v="Moderate obstacle"/>
    <s v="No obstacle"/>
    <x v="1"/>
    <s v="Are estimates computed with some precision"/>
    <n v="7"/>
    <n v="45000000"/>
    <n v="5"/>
    <x v="1"/>
    <n v="0.5"/>
    <n v="0.22474487139158894"/>
    <n v="1"/>
    <n v="60000000"/>
    <n v="0.33333333333333331"/>
    <n v="0.16666666666666666"/>
    <n v="16000000"/>
    <n v="1.4999999999999999E-2"/>
    <s v="Normal"/>
    <x v="2"/>
    <x v="0"/>
  </r>
  <r>
    <n v="1614639"/>
    <x v="2"/>
    <x v="2"/>
    <n v="157"/>
    <n v="1071"/>
    <n v="10"/>
    <x v="0"/>
    <n v="2017"/>
    <n v="47"/>
    <n v="1.6504706144332886"/>
    <n v="30000000000"/>
    <n v="25000000000"/>
    <n v="80"/>
    <n v="116"/>
    <n v="110"/>
    <n v="113300000"/>
    <n v="1000000000"/>
    <n v="2000000000"/>
    <x v="1"/>
    <s v="Yes"/>
    <x v="1"/>
    <x v="1"/>
    <n v="100"/>
    <n v="0"/>
    <n v="0"/>
    <s v="Yes"/>
    <m/>
    <s v="No"/>
    <s v="No"/>
    <s v="Yes"/>
    <n v="15"/>
    <s v="Very severe obstacle"/>
    <s v="No obstacle"/>
    <s v="No obstacle"/>
    <s v="Very severe obstacle"/>
    <x v="1"/>
    <s v="Are taken directly from establishment records"/>
    <n v="7"/>
    <n v="0"/>
    <n v="15"/>
    <x v="1"/>
    <n v="0.19999999999999996"/>
    <n v="9.5445115010332149E-2"/>
    <n v="5.4545454545454453E-2"/>
    <n v="258620689.65517241"/>
    <n v="3.7766666666666665E-3"/>
    <n v="3.3333333333333333E-2"/>
    <n v="17241379.310344826"/>
    <n v="0"/>
    <s v="Review"/>
    <x v="2"/>
    <x v="0"/>
  </r>
  <r>
    <n v="1614640"/>
    <x v="1"/>
    <x v="1"/>
    <n v="15"/>
    <n v="1080"/>
    <n v="10"/>
    <x v="0"/>
    <n v="2013"/>
    <n v="18"/>
    <n v="30.085899353027344"/>
    <n v="100000000"/>
    <n v="55000000"/>
    <n v="100"/>
    <n v="15"/>
    <n v="5"/>
    <n v="40000000"/>
    <n v="45000000"/>
    <n v="60000000"/>
    <x v="1"/>
    <s v="Not asked (survey skip: screener employment &lt;20)"/>
    <x v="0"/>
    <x v="0"/>
    <n v="40"/>
    <n v="0"/>
    <n v="50"/>
    <s v="No"/>
    <m/>
    <s v="No"/>
    <s v="No"/>
    <s v="No"/>
    <m/>
    <s v="No obstacle"/>
    <s v="No obstacle"/>
    <s v="Minor obstacle"/>
    <s v="No obstacle"/>
    <x v="0"/>
    <s v="Are in some case taken from books and in some case estimates"/>
    <n v="11"/>
    <n v="0"/>
    <n v="0"/>
    <x v="1"/>
    <n v="0.81818181818181812"/>
    <n v="0.34839972492648408"/>
    <n v="2"/>
    <n v="6666666.666666667"/>
    <n v="0.4"/>
    <n v="0.45"/>
    <n v="4000000"/>
    <n v="0"/>
    <s v="Normal"/>
    <x v="1"/>
    <x v="2"/>
  </r>
  <r>
    <n v="1614645"/>
    <x v="3"/>
    <x v="1"/>
    <n v="6"/>
    <n v="3100"/>
    <n v="31"/>
    <x v="3"/>
    <n v="2012"/>
    <n v="15"/>
    <n v="18.668731689453125"/>
    <n v="45500000"/>
    <n v="37800000"/>
    <n v="60"/>
    <n v="4"/>
    <n v="4"/>
    <n v="4100000"/>
    <n v="14600000"/>
    <n v="84270000"/>
    <x v="1"/>
    <s v="Not asked (survey skip: screener employment &lt;20)"/>
    <x v="0"/>
    <x v="0"/>
    <n v="70"/>
    <n v="0"/>
    <n v="10"/>
    <s v="No"/>
    <m/>
    <s v="No"/>
    <s v="No"/>
    <s v="Yes"/>
    <n v="5"/>
    <s v="No obstacle"/>
    <s v="No obstacle"/>
    <s v="No obstacle"/>
    <s v="No obstacle"/>
    <x v="0"/>
    <s v="Are estimates computed with some precision"/>
    <n v="12"/>
    <n v="0"/>
    <n v="5"/>
    <x v="1"/>
    <n v="0.20370370370370372"/>
    <n v="9.7134314340638905E-2"/>
    <n v="0"/>
    <n v="11375000"/>
    <n v="9.0109890109890109E-2"/>
    <n v="0.3208791208791209"/>
    <n v="21067500"/>
    <n v="0"/>
    <s v="Normal"/>
    <x v="1"/>
    <x v="0"/>
  </r>
  <r>
    <n v="1614647"/>
    <x v="3"/>
    <x v="2"/>
    <n v="5"/>
    <n v="1811"/>
    <n v="18"/>
    <x v="4"/>
    <n v="2016"/>
    <n v="1"/>
    <n v="6.9057846069335938"/>
    <m/>
    <m/>
    <n v="3"/>
    <n v="3"/>
    <n v="4"/>
    <m/>
    <m/>
    <n v="20000000"/>
    <x v="1"/>
    <s v="Not asked (survey skip: screener employment &lt;20)"/>
    <x v="0"/>
    <x v="0"/>
    <n v="100"/>
    <n v="0"/>
    <n v="0"/>
    <s v="No"/>
    <m/>
    <s v="No"/>
    <s v="No"/>
    <s v="Yes"/>
    <n v="5"/>
    <s v="Major obstacle"/>
    <s v="Major obstacle"/>
    <s v="Moderate obstacle"/>
    <s v="Major obstacle"/>
    <x v="1"/>
    <s v="Are estimates computed with some precision"/>
    <n v="8"/>
    <n v="0"/>
    <n v="5"/>
    <x v="1"/>
    <s v=""/>
    <s v=""/>
    <n v="-0.25"/>
    <s v=""/>
    <s v=""/>
    <s v=""/>
    <n v="6666666.666666667"/>
    <n v="0"/>
    <s v="Normal"/>
    <x v="2"/>
    <x v="3"/>
  </r>
  <r>
    <n v="1614649"/>
    <x v="1"/>
    <x v="0"/>
    <n v="8"/>
    <n v="2599"/>
    <n v="25"/>
    <x v="6"/>
    <n v="2003"/>
    <n v="38"/>
    <n v="1.5749640464782715"/>
    <n v="6000000"/>
    <n v="8000000"/>
    <n v="45"/>
    <n v="8"/>
    <n v="8"/>
    <n v="4800000"/>
    <n v="750000"/>
    <n v="500000"/>
    <x v="1"/>
    <s v="Not asked (survey skip: screener employment &lt;20)"/>
    <x v="1"/>
    <x v="1"/>
    <n v="25"/>
    <n v="20"/>
    <n v="15"/>
    <s v="No"/>
    <m/>
    <s v="No"/>
    <s v="No"/>
    <s v="No"/>
    <m/>
    <s v="Moderate obstacle"/>
    <s v="Very severe obstacle"/>
    <s v="Very severe obstacle"/>
    <s v="Very severe obstacle"/>
    <x v="6"/>
    <s v="Are estimates computed with some precision"/>
    <n v="21"/>
    <n v="0"/>
    <n v="0"/>
    <x v="1"/>
    <n v="-0.25"/>
    <n v="-0.1339745962155614"/>
    <n v="0"/>
    <n v="750000"/>
    <n v="0.8"/>
    <n v="0.125"/>
    <n v="62500"/>
    <n v="0"/>
    <s v="Normal"/>
    <x v="3"/>
    <x v="1"/>
  </r>
  <r>
    <n v="1614651"/>
    <x v="3"/>
    <x v="2"/>
    <n v="6"/>
    <n v="1071"/>
    <n v="10"/>
    <x v="0"/>
    <n v="2022"/>
    <n v="3"/>
    <n v="1.8331878185272217"/>
    <n v="25000000"/>
    <m/>
    <n v="2"/>
    <n v="5"/>
    <n v="5"/>
    <m/>
    <n v="7000000"/>
    <n v="12000000"/>
    <x v="1"/>
    <s v="Not asked (survey skip: screener employment &lt;20)"/>
    <x v="0"/>
    <x v="1"/>
    <n v="7"/>
    <n v="0"/>
    <n v="90"/>
    <s v="Yes"/>
    <n v="8000000"/>
    <s v="Yes"/>
    <s v="Yes"/>
    <s v="Yes"/>
    <n v="5"/>
    <s v="Moderate obstacle"/>
    <s v="Very severe obstacle"/>
    <s v="No obstacle"/>
    <s v="Moderate obstacle"/>
    <x v="9"/>
    <s v="Are estimates computed with some precision"/>
    <n v="2"/>
    <n v="8000000"/>
    <n v="5"/>
    <x v="1"/>
    <s v=""/>
    <s v=""/>
    <n v="0"/>
    <n v="5000000"/>
    <s v=""/>
    <n v="0.28000000000000003"/>
    <n v="2400000"/>
    <n v="0.32"/>
    <s v="Normal"/>
    <x v="2"/>
    <x v="3"/>
  </r>
  <r>
    <n v="1614654"/>
    <x v="2"/>
    <x v="2"/>
    <n v="20"/>
    <n v="1071"/>
    <n v="10"/>
    <x v="0"/>
    <n v="2007"/>
    <n v="33"/>
    <n v="1.6504706144332886"/>
    <n v="20000000"/>
    <n v="30000000"/>
    <n v="1"/>
    <n v="25"/>
    <n v="30"/>
    <n v="12000000"/>
    <m/>
    <n v="3000000"/>
    <x v="1"/>
    <s v="Yes"/>
    <x v="1"/>
    <x v="0"/>
    <n v="27"/>
    <n v="30"/>
    <n v="30"/>
    <s v="Yes"/>
    <n v="1800000"/>
    <s v="Yes"/>
    <s v="Yes"/>
    <s v="Yes"/>
    <n v="0"/>
    <s v="Minor obstacle"/>
    <s v="Major obstacle"/>
    <s v="No obstacle"/>
    <s v="Very severe obstacle"/>
    <x v="5"/>
    <s v="Are estimates computed with some precision"/>
    <n v="17"/>
    <n v="1800000"/>
    <n v="0"/>
    <x v="1"/>
    <n v="-0.33333333333333337"/>
    <n v="-0.18350341907227397"/>
    <n v="-0.16666666666666663"/>
    <n v="800000"/>
    <n v="0.6"/>
    <s v=""/>
    <n v="120000"/>
    <n v="0.09"/>
    <s v="Normal"/>
    <x v="1"/>
    <x v="1"/>
  </r>
  <r>
    <n v="1614655"/>
    <x v="2"/>
    <x v="1"/>
    <n v="5"/>
    <n v="2511"/>
    <n v="25"/>
    <x v="6"/>
    <n v="2019"/>
    <n v="15"/>
    <n v="64.973602294921875"/>
    <n v="7000000"/>
    <m/>
    <n v="30"/>
    <n v="4"/>
    <n v="3"/>
    <n v="2000000"/>
    <n v="5000000"/>
    <n v="550000"/>
    <x v="1"/>
    <s v="Not asked (survey skip: screener employment &lt;20)"/>
    <x v="0"/>
    <x v="0"/>
    <n v="100"/>
    <n v="0"/>
    <n v="0"/>
    <s v="Yes"/>
    <n v="3000000"/>
    <s v="No"/>
    <s v="No"/>
    <s v="Yes"/>
    <n v="5"/>
    <s v="Minor obstacle"/>
    <s v="Major obstacle"/>
    <s v="Minor obstacle"/>
    <s v="Minor obstacle"/>
    <x v="0"/>
    <s v="Are estimates computed with some precision"/>
    <n v="5"/>
    <n v="3000000"/>
    <n v="5"/>
    <x v="1"/>
    <s v=""/>
    <s v=""/>
    <n v="0.33333333333333326"/>
    <n v="1750000"/>
    <n v="0.2857142857142857"/>
    <n v="0.7142857142857143"/>
    <n v="137500"/>
    <n v="0.42857142857142855"/>
    <s v="Normal"/>
    <x v="2"/>
    <x v="3"/>
  </r>
  <r>
    <n v="1614656"/>
    <x v="3"/>
    <x v="2"/>
    <n v="25"/>
    <n v="1622"/>
    <n v="16"/>
    <x v="10"/>
    <n v="1999"/>
    <n v="30"/>
    <n v="6.9057846069335938"/>
    <n v="50000000"/>
    <n v="45000000"/>
    <n v="30"/>
    <n v="10"/>
    <n v="10"/>
    <n v="20000000"/>
    <n v="7000000"/>
    <n v="100000000"/>
    <x v="1"/>
    <s v="No"/>
    <x v="0"/>
    <x v="0"/>
    <n v="90"/>
    <n v="0"/>
    <n v="0"/>
    <s v="No"/>
    <m/>
    <s v="No"/>
    <s v="No"/>
    <s v="No"/>
    <m/>
    <s v="No obstacle"/>
    <s v="No obstacle"/>
    <s v="No obstacle"/>
    <s v="No obstacle"/>
    <x v="0"/>
    <s v="Are in some case taken from books and in some case estimates"/>
    <n v="25"/>
    <n v="0"/>
    <n v="0"/>
    <x v="1"/>
    <n v="0.11111111111111116"/>
    <n v="5.4092553389459841E-2"/>
    <n v="0"/>
    <n v="5000000"/>
    <n v="0.4"/>
    <n v="0.14000000000000001"/>
    <n v="10000000"/>
    <n v="0"/>
    <s v="Normal"/>
    <x v="3"/>
    <x v="0"/>
  </r>
  <r>
    <n v="1614658"/>
    <x v="3"/>
    <x v="1"/>
    <n v="28"/>
    <n v="1061"/>
    <n v="10"/>
    <x v="0"/>
    <n v="2017"/>
    <n v="9"/>
    <n v="1.6450884342193604"/>
    <n v="4150000000"/>
    <n v="4000000000"/>
    <n v="45"/>
    <n v="28"/>
    <n v="25"/>
    <n v="200000000"/>
    <n v="500000000"/>
    <n v="6000000000"/>
    <x v="1"/>
    <s v="No"/>
    <x v="0"/>
    <x v="0"/>
    <n v="80"/>
    <n v="0"/>
    <n v="0"/>
    <s v="No"/>
    <m/>
    <s v="No"/>
    <s v="No"/>
    <s v="No"/>
    <m/>
    <s v="Minor obstacle"/>
    <s v="Minor obstacle"/>
    <s v="No obstacle"/>
    <s v="No obstacle"/>
    <x v="0"/>
    <s v="Are estimates computed with some precision"/>
    <n v="7"/>
    <n v="0"/>
    <n v="0"/>
    <x v="1"/>
    <n v="3.7500000000000089E-2"/>
    <n v="1.8577439373168136E-2"/>
    <n v="0.12000000000000011"/>
    <n v="148214285.7142857"/>
    <n v="4.8192771084337352E-2"/>
    <n v="0.12048192771084337"/>
    <n v="214285714.2857143"/>
    <n v="0"/>
    <s v="Normal"/>
    <x v="2"/>
    <x v="1"/>
  </r>
  <r>
    <n v="1614669"/>
    <x v="3"/>
    <x v="2"/>
    <n v="15"/>
    <n v="1811"/>
    <n v="18"/>
    <x v="4"/>
    <n v="2012"/>
    <n v="13"/>
    <n v="6.9057846069335938"/>
    <n v="35000000"/>
    <n v="35000000"/>
    <n v="85"/>
    <n v="8"/>
    <n v="8"/>
    <n v="10000000"/>
    <n v="12000000"/>
    <n v="50000000"/>
    <x v="1"/>
    <s v="Not asked (survey skip: screener employment &lt;20)"/>
    <x v="0"/>
    <x v="0"/>
    <n v="85"/>
    <n v="0"/>
    <n v="0"/>
    <s v="No"/>
    <m/>
    <s v="No"/>
    <s v="No"/>
    <s v="No"/>
    <m/>
    <s v="Moderate obstacle"/>
    <s v="No obstacle"/>
    <s v="No obstacle"/>
    <s v="No obstacle"/>
    <x v="1"/>
    <s v="Are in some case taken from books and in some case estimates"/>
    <n v="12"/>
    <n v="0"/>
    <n v="0"/>
    <x v="1"/>
    <n v="0"/>
    <n v="0"/>
    <n v="0"/>
    <n v="4375000"/>
    <n v="0.2857142857142857"/>
    <n v="0.34285714285714286"/>
    <n v="6250000"/>
    <n v="0"/>
    <s v="Normal"/>
    <x v="1"/>
    <x v="1"/>
  </r>
  <r>
    <n v="1614672"/>
    <x v="3"/>
    <x v="1"/>
    <n v="6"/>
    <n v="1079"/>
    <n v="10"/>
    <x v="0"/>
    <n v="2012"/>
    <n v="14"/>
    <n v="1.6450884342193604"/>
    <n v="20730000"/>
    <n v="16980000"/>
    <n v="70"/>
    <n v="3"/>
    <n v="3"/>
    <n v="3000000"/>
    <n v="12000000"/>
    <n v="49500000"/>
    <x v="1"/>
    <s v="Not asked (survey skip: screener employment &lt;20)"/>
    <x v="0"/>
    <x v="0"/>
    <n v="80"/>
    <n v="0"/>
    <n v="0"/>
    <s v="No"/>
    <m/>
    <s v="No"/>
    <s v="No"/>
    <s v="Yes"/>
    <n v="8"/>
    <s v="Moderate obstacle"/>
    <s v="Minor obstacle"/>
    <s v="No obstacle"/>
    <s v="No obstacle"/>
    <x v="0"/>
    <s v="Are estimates computed with some precision"/>
    <n v="12"/>
    <n v="0"/>
    <n v="8"/>
    <x v="1"/>
    <n v="0.22084805653710249"/>
    <n v="0.10491993218382234"/>
    <n v="0"/>
    <n v="6910000"/>
    <n v="0.14471780028943559"/>
    <n v="0.57887120115774238"/>
    <n v="16500000"/>
    <n v="0"/>
    <s v="Normal"/>
    <x v="1"/>
    <x v="0"/>
  </r>
  <r>
    <n v="1614677"/>
    <x v="1"/>
    <x v="1"/>
    <n v="10"/>
    <n v="3100"/>
    <n v="31"/>
    <x v="3"/>
    <n v="2010"/>
    <n v="12"/>
    <n v="147.28436279296875"/>
    <m/>
    <n v="500000000"/>
    <n v="80"/>
    <n v="10"/>
    <n v="15"/>
    <n v="11600000"/>
    <n v="60000000"/>
    <m/>
    <x v="1"/>
    <s v="Not asked (survey skip: screener employment &lt;20)"/>
    <x v="1"/>
    <x v="0"/>
    <n v="100"/>
    <n v="0"/>
    <n v="0"/>
    <s v="No"/>
    <m/>
    <s v="No"/>
    <s v="No"/>
    <s v="Yes"/>
    <n v="6"/>
    <s v="Moderate obstacle"/>
    <s v="Moderate obstacle"/>
    <s v="No obstacle"/>
    <s v="Moderate obstacle"/>
    <x v="3"/>
    <s v="Are estimates computed with some precision"/>
    <n v="14"/>
    <n v="0"/>
    <n v="6"/>
    <x v="1"/>
    <s v=""/>
    <s v=""/>
    <n v="-0.33333333333333337"/>
    <s v=""/>
    <s v=""/>
    <s v=""/>
    <s v=""/>
    <n v="0"/>
    <s v="Normal"/>
    <x v="1"/>
    <x v="3"/>
  </r>
  <r>
    <n v="1614679"/>
    <x v="2"/>
    <x v="2"/>
    <n v="75"/>
    <n v="1101"/>
    <n v="11"/>
    <x v="11"/>
    <n v="2018"/>
    <n v="5"/>
    <n v="2.6198341846466064"/>
    <n v="600000000"/>
    <m/>
    <n v="70"/>
    <n v="50"/>
    <n v="40"/>
    <n v="102000000"/>
    <m/>
    <n v="2000000000"/>
    <x v="1"/>
    <s v="No"/>
    <x v="1"/>
    <x v="0"/>
    <n v="30"/>
    <n v="0"/>
    <n v="70"/>
    <s v="No"/>
    <m/>
    <s v="No"/>
    <s v="No"/>
    <s v="Yes"/>
    <n v="0"/>
    <s v="Minor obstacle"/>
    <s v="Major obstacle"/>
    <s v="No obstacle"/>
    <s v="Very severe obstacle"/>
    <x v="0"/>
    <s v="Are estimates computed with some precision"/>
    <n v="6"/>
    <n v="0"/>
    <n v="0"/>
    <x v="1"/>
    <s v=""/>
    <s v=""/>
    <n v="0.25"/>
    <n v="12000000"/>
    <n v="0.17"/>
    <s v=""/>
    <n v="40000000"/>
    <n v="0"/>
    <s v="Normal"/>
    <x v="2"/>
    <x v="3"/>
  </r>
  <r>
    <n v="1614682"/>
    <x v="0"/>
    <x v="1"/>
    <n v="20"/>
    <n v="1061"/>
    <n v="10"/>
    <x v="0"/>
    <n v="2013"/>
    <n v="12"/>
    <n v="7.8952765464782715"/>
    <n v="90000000"/>
    <n v="70000000"/>
    <n v="90"/>
    <n v="8"/>
    <n v="7"/>
    <n v="24000000"/>
    <n v="30000000"/>
    <n v="150000000"/>
    <x v="1"/>
    <s v="Yes"/>
    <x v="0"/>
    <x v="0"/>
    <n v="60"/>
    <n v="0"/>
    <n v="0"/>
    <s v="No"/>
    <m/>
    <s v="No"/>
    <s v="No"/>
    <s v="Yes"/>
    <n v="3"/>
    <s v="Very severe obstacle"/>
    <s v="Major obstacle"/>
    <s v="No obstacle"/>
    <s v="Minor obstacle"/>
    <x v="1"/>
    <s v="Are taken directly from establishment records"/>
    <n v="11"/>
    <n v="0"/>
    <n v="3"/>
    <x v="1"/>
    <n v="0.28571428571428581"/>
    <n v="0.1338934190276817"/>
    <n v="0.14285714285714279"/>
    <n v="11250000"/>
    <n v="0.26666666666666666"/>
    <n v="0.33333333333333331"/>
    <n v="18750000"/>
    <n v="0"/>
    <s v="Normal"/>
    <x v="1"/>
    <x v="0"/>
  </r>
  <r>
    <n v="1614686"/>
    <x v="3"/>
    <x v="1"/>
    <n v="6"/>
    <n v="3100"/>
    <n v="31"/>
    <x v="3"/>
    <n v="2009"/>
    <n v="19"/>
    <n v="18.668731689453125"/>
    <n v="16500000"/>
    <n v="8170000"/>
    <n v="60"/>
    <n v="2"/>
    <n v="2"/>
    <n v="2160000"/>
    <n v="3000000"/>
    <n v="43000000"/>
    <x v="1"/>
    <s v="Not asked (survey skip: screener employment &lt;20)"/>
    <x v="0"/>
    <x v="0"/>
    <n v="60"/>
    <n v="0"/>
    <n v="10"/>
    <s v="No"/>
    <m/>
    <s v="No"/>
    <s v="No"/>
    <s v="Yes"/>
    <n v="5"/>
    <s v="No obstacle"/>
    <s v="Major obstacle"/>
    <s v="No obstacle"/>
    <s v="No obstacle"/>
    <x v="0"/>
    <s v="Are estimates computed with some precision"/>
    <n v="15"/>
    <n v="0"/>
    <n v="5"/>
    <x v="1"/>
    <n v="1.0195838433292534"/>
    <n v="0.42112062940809269"/>
    <n v="0"/>
    <n v="8250000"/>
    <n v="0.13090909090909092"/>
    <n v="0.18181818181818182"/>
    <n v="21500000"/>
    <n v="0"/>
    <s v="Normal"/>
    <x v="1"/>
    <x v="2"/>
  </r>
  <r>
    <n v="1614693"/>
    <x v="3"/>
    <x v="1"/>
    <n v="15"/>
    <n v="2511"/>
    <n v="25"/>
    <x v="6"/>
    <n v="2009"/>
    <n v="15"/>
    <n v="18.668731689453125"/>
    <n v="200000000"/>
    <n v="200000000"/>
    <n v="45"/>
    <n v="10"/>
    <n v="10"/>
    <n v="35000000"/>
    <n v="50000000"/>
    <n v="1000000000"/>
    <x v="1"/>
    <s v="Not asked (survey skip: screener employment &lt;20)"/>
    <x v="0"/>
    <x v="0"/>
    <n v="80"/>
    <n v="0"/>
    <n v="0"/>
    <s v="No"/>
    <m/>
    <s v="No"/>
    <s v="No"/>
    <s v="No"/>
    <m/>
    <s v="Minor obstacle"/>
    <s v="No obstacle"/>
    <s v="No obstacle"/>
    <s v="No obstacle"/>
    <x v="6"/>
    <s v="Are estimates computed with some precision"/>
    <n v="15"/>
    <n v="0"/>
    <n v="0"/>
    <x v="1"/>
    <n v="0"/>
    <n v="0"/>
    <n v="0"/>
    <n v="20000000"/>
    <n v="0.17499999999999999"/>
    <n v="0.25"/>
    <n v="100000000"/>
    <n v="0"/>
    <s v="Normal"/>
    <x v="1"/>
    <x v="1"/>
  </r>
  <r>
    <n v="1614698"/>
    <x v="2"/>
    <x v="2"/>
    <n v="10"/>
    <n v="2599"/>
    <n v="25"/>
    <x v="6"/>
    <n v="1990"/>
    <n v="30"/>
    <n v="2.6198341846466064"/>
    <n v="15000000"/>
    <m/>
    <n v="7"/>
    <n v="8"/>
    <n v="7"/>
    <m/>
    <n v="5000000"/>
    <n v="3500000"/>
    <x v="1"/>
    <s v="Not asked (survey skip: screener employment &lt;20)"/>
    <x v="1"/>
    <x v="0"/>
    <n v="30"/>
    <n v="48"/>
    <n v="12"/>
    <s v="Yes"/>
    <n v="900000"/>
    <s v="No"/>
    <s v="Yes"/>
    <s v="No"/>
    <m/>
    <s v="Major obstacle"/>
    <s v="Major obstacle"/>
    <s v="No obstacle"/>
    <s v="Major obstacle"/>
    <x v="1"/>
    <s v="Are estimates computed with some precision"/>
    <n v="34"/>
    <n v="900000"/>
    <n v="0"/>
    <x v="1"/>
    <s v=""/>
    <s v=""/>
    <n v="0.14285714285714279"/>
    <n v="1875000"/>
    <s v=""/>
    <n v="0.33333333333333331"/>
    <n v="437500"/>
    <n v="0.06"/>
    <s v="Normal"/>
    <x v="0"/>
    <x v="3"/>
  </r>
  <r>
    <n v="1614703"/>
    <x v="3"/>
    <x v="1"/>
    <n v="16"/>
    <n v="3100"/>
    <n v="31"/>
    <x v="3"/>
    <n v="2012"/>
    <n v="13"/>
    <n v="18.668731689453125"/>
    <n v="55000000"/>
    <n v="55000000"/>
    <n v="86"/>
    <n v="14"/>
    <n v="14"/>
    <n v="23000000"/>
    <n v="12000000"/>
    <n v="25000000000"/>
    <x v="1"/>
    <s v="Not asked (survey skip: screener employment &lt;20)"/>
    <x v="0"/>
    <x v="0"/>
    <n v="100"/>
    <n v="0"/>
    <n v="0"/>
    <s v="No"/>
    <m/>
    <s v="No"/>
    <s v="No"/>
    <s v="No"/>
    <m/>
    <s v="Minor obstacle"/>
    <s v="Minor obstacle"/>
    <s v="No obstacle"/>
    <s v="No obstacle"/>
    <x v="9"/>
    <s v="Are estimates computed with some precision"/>
    <n v="12"/>
    <n v="0"/>
    <n v="0"/>
    <x v="1"/>
    <n v="0"/>
    <n v="0"/>
    <n v="0"/>
    <n v="3928571.4285714286"/>
    <n v="0.41818181818181815"/>
    <n v="0.21818181818181817"/>
    <n v="1785714285.7142856"/>
    <n v="0"/>
    <s v="Normal"/>
    <x v="1"/>
    <x v="1"/>
  </r>
  <r>
    <n v="1614704"/>
    <x v="2"/>
    <x v="1"/>
    <n v="7"/>
    <n v="1079"/>
    <n v="10"/>
    <x v="0"/>
    <m/>
    <m/>
    <n v="11.033946990966797"/>
    <n v="38000000"/>
    <m/>
    <n v="1"/>
    <n v="4"/>
    <m/>
    <n v="20000000"/>
    <n v="0"/>
    <m/>
    <x v="1"/>
    <s v="Not asked (survey skip: screener employment &lt;20)"/>
    <x v="0"/>
    <x v="0"/>
    <n v="100"/>
    <n v="0"/>
    <n v="0"/>
    <s v="No"/>
    <m/>
    <s v="No"/>
    <s v="No"/>
    <s v="No"/>
    <m/>
    <s v="Very severe obstacle"/>
    <s v="No obstacle"/>
    <s v="Minor obstacle"/>
    <s v="Minor obstacle"/>
    <x v="1"/>
    <s v="Are in some case taken from books and in some case estimates"/>
    <s v=""/>
    <n v="0"/>
    <n v="0"/>
    <x v="1"/>
    <s v=""/>
    <s v=""/>
    <s v=""/>
    <n v="9500000"/>
    <n v="0.52631578947368418"/>
    <n v="0"/>
    <s v=""/>
    <n v="0"/>
    <s v="Normal"/>
    <x v="4"/>
    <x v="3"/>
  </r>
  <r>
    <n v="1614707"/>
    <x v="2"/>
    <x v="2"/>
    <n v="9"/>
    <n v="3100"/>
    <n v="31"/>
    <x v="3"/>
    <n v="2008"/>
    <n v="19"/>
    <n v="2.6198341846466064"/>
    <n v="74500000"/>
    <n v="40600000"/>
    <m/>
    <n v="5"/>
    <n v="2"/>
    <m/>
    <m/>
    <n v="3000000"/>
    <x v="1"/>
    <s v="Not asked (survey skip: screener employment &lt;20)"/>
    <x v="0"/>
    <x v="0"/>
    <n v="70"/>
    <n v="0"/>
    <n v="0"/>
    <s v="No"/>
    <m/>
    <s v="No"/>
    <s v="No"/>
    <s v="Yes"/>
    <n v="5"/>
    <s v="Minor obstacle"/>
    <s v="Moderate obstacle"/>
    <s v="No obstacle"/>
    <s v="Minor obstacle"/>
    <x v="3"/>
    <s v="Are estimates computed with some precision"/>
    <n v="16"/>
    <n v="0"/>
    <n v="5"/>
    <x v="1"/>
    <n v="0.83497536945812811"/>
    <n v="0.35461262708500096"/>
    <n v="1.5"/>
    <n v="14900000"/>
    <s v=""/>
    <s v=""/>
    <n v="600000"/>
    <n v="0"/>
    <s v="Normal"/>
    <x v="1"/>
    <x v="2"/>
  </r>
  <r>
    <n v="1614712"/>
    <x v="0"/>
    <x v="2"/>
    <n v="16"/>
    <n v="1071"/>
    <n v="10"/>
    <x v="0"/>
    <n v="2020"/>
    <n v="5"/>
    <n v="1.6103764772415161"/>
    <n v="150000000"/>
    <n v="120000000"/>
    <n v="60"/>
    <n v="16"/>
    <n v="11"/>
    <n v="50000000"/>
    <n v="40000000"/>
    <n v="3000000"/>
    <x v="1"/>
    <s v="Not asked (survey skip: screener employment &lt;20)"/>
    <x v="0"/>
    <x v="1"/>
    <n v="100"/>
    <n v="0"/>
    <n v="0"/>
    <s v="Yes"/>
    <n v="7000000"/>
    <s v="No"/>
    <s v="No"/>
    <s v="Yes"/>
    <n v="10"/>
    <s v="Minor obstacle"/>
    <s v="Minor obstacle"/>
    <s v="No obstacle"/>
    <s v="Moderate obstacle"/>
    <x v="5"/>
    <s v="Are in some case taken from books and in some case estimates"/>
    <n v="4"/>
    <n v="7000000"/>
    <n v="10"/>
    <x v="1"/>
    <n v="0.25"/>
    <n v="0.1180339887498949"/>
    <n v="0.45454545454545459"/>
    <n v="9375000"/>
    <n v="0.33333333333333331"/>
    <n v="0.26666666666666666"/>
    <n v="187500"/>
    <n v="4.6666666666666669E-2"/>
    <s v="Normal"/>
    <x v="2"/>
    <x v="0"/>
  </r>
  <r>
    <n v="1614716"/>
    <x v="1"/>
    <x v="0"/>
    <n v="200"/>
    <n v="2392"/>
    <n v="23"/>
    <x v="8"/>
    <n v="2000"/>
    <n v="30"/>
    <n v="1.5749640464782715"/>
    <n v="7000000000"/>
    <n v="2000000000"/>
    <n v="60"/>
    <n v="200"/>
    <n v="100"/>
    <n v="300000000"/>
    <n v="2000000000"/>
    <n v="20000000000"/>
    <x v="1"/>
    <s v="Yes"/>
    <x v="1"/>
    <x v="1"/>
    <n v="70"/>
    <n v="0"/>
    <n v="25"/>
    <s v="No"/>
    <m/>
    <s v="No"/>
    <s v="No"/>
    <s v="Yes"/>
    <n v="5"/>
    <s v="No obstacle"/>
    <s v="No obstacle"/>
    <s v="No obstacle"/>
    <s v="Minor obstacle"/>
    <x v="2"/>
    <s v="Are in some case taken from books and in some case estimates"/>
    <n v="24"/>
    <n v="0"/>
    <n v="5"/>
    <x v="1"/>
    <n v="2.5"/>
    <n v="0.87082869338697066"/>
    <n v="1"/>
    <n v="35000000"/>
    <n v="4.2857142857142858E-2"/>
    <n v="0.2857142857142857"/>
    <n v="100000000"/>
    <n v="0"/>
    <s v="Normal"/>
    <x v="3"/>
    <x v="2"/>
  </r>
  <r>
    <n v="1614717"/>
    <x v="2"/>
    <x v="1"/>
    <n v="8"/>
    <n v="1071"/>
    <n v="10"/>
    <x v="0"/>
    <n v="2023"/>
    <n v="3"/>
    <n v="11.033946990966797"/>
    <n v="24000000"/>
    <m/>
    <n v="1"/>
    <n v="6"/>
    <m/>
    <n v="5760000"/>
    <n v="5000000"/>
    <n v="3000000"/>
    <x v="1"/>
    <s v="Not asked (survey skip: screener employment &lt;20)"/>
    <x v="0"/>
    <x v="0"/>
    <n v="80"/>
    <n v="0"/>
    <n v="20"/>
    <s v="No"/>
    <m/>
    <s v="No"/>
    <s v="No"/>
    <s v="Yes"/>
    <n v="4"/>
    <s v="Moderate obstacle"/>
    <s v="Major obstacle"/>
    <s v="No obstacle"/>
    <s v="Moderate obstacle"/>
    <x v="3"/>
    <s v="Are estimates computed with some precision"/>
    <n v="1"/>
    <n v="0"/>
    <n v="4"/>
    <x v="1"/>
    <s v=""/>
    <s v=""/>
    <s v=""/>
    <n v="4000000"/>
    <n v="0.24"/>
    <n v="0.20833333333333334"/>
    <n v="500000"/>
    <n v="0"/>
    <s v="Normal"/>
    <x v="2"/>
    <x v="3"/>
  </r>
  <r>
    <n v="1614718"/>
    <x v="1"/>
    <x v="2"/>
    <n v="200"/>
    <n v="2220"/>
    <n v="22"/>
    <x v="16"/>
    <n v="2005"/>
    <n v="23"/>
    <n v="48.349552154541016"/>
    <n v="5500000000"/>
    <n v="4000000000"/>
    <n v="80"/>
    <n v="150"/>
    <n v="120"/>
    <n v="200000000"/>
    <n v="1000000000"/>
    <n v="3000000000"/>
    <x v="5"/>
    <s v="Yes"/>
    <x v="0"/>
    <x v="0"/>
    <n v="80"/>
    <n v="0"/>
    <n v="0"/>
    <s v="No"/>
    <m/>
    <s v="Yes"/>
    <s v="No"/>
    <s v="Yes"/>
    <n v="4"/>
    <s v="Moderate obstacle"/>
    <s v="No obstacle"/>
    <s v="Minor obstacle"/>
    <s v="Moderate obstacle"/>
    <x v="0"/>
    <s v="Are taken directly from establishment records"/>
    <n v="19"/>
    <n v="0"/>
    <n v="4"/>
    <x v="0"/>
    <n v="0.375"/>
    <n v="0.17260393995585743"/>
    <n v="0.25"/>
    <n v="36666666.666666664"/>
    <n v="3.6363636363636362E-2"/>
    <n v="0.18181818181818182"/>
    <n v="20000000"/>
    <n v="0"/>
    <s v="Normal"/>
    <x v="1"/>
    <x v="0"/>
  </r>
  <r>
    <n v="1614720"/>
    <x v="0"/>
    <x v="2"/>
    <n v="40"/>
    <n v="1061"/>
    <n v="10"/>
    <x v="0"/>
    <n v="2008"/>
    <n v="17"/>
    <n v="1.6103764772415161"/>
    <n v="100000000"/>
    <n v="84000000"/>
    <n v="90"/>
    <n v="20"/>
    <n v="10"/>
    <n v="18000000"/>
    <n v="30000000"/>
    <n v="150000000"/>
    <x v="1"/>
    <s v="Yes"/>
    <x v="0"/>
    <x v="0"/>
    <n v="70"/>
    <n v="0"/>
    <n v="0"/>
    <s v="No"/>
    <m/>
    <s v="No"/>
    <s v="No"/>
    <s v="Yes"/>
    <n v="3"/>
    <s v="Major obstacle"/>
    <s v="Moderate obstacle"/>
    <s v="No obstacle"/>
    <s v="Very severe obstacle"/>
    <x v="5"/>
    <s v="Are taken directly from establishment records"/>
    <n v="16"/>
    <n v="0"/>
    <n v="3"/>
    <x v="1"/>
    <n v="0.19047619047619047"/>
    <n v="9.1089451179961811E-2"/>
    <n v="1"/>
    <n v="5000000"/>
    <n v="0.18"/>
    <n v="0.3"/>
    <n v="7500000"/>
    <n v="0"/>
    <s v="Normal"/>
    <x v="1"/>
    <x v="0"/>
  </r>
  <r>
    <n v="1614721"/>
    <x v="2"/>
    <x v="2"/>
    <n v="20"/>
    <n v="1101"/>
    <n v="11"/>
    <x v="11"/>
    <n v="2013"/>
    <m/>
    <n v="1.6504706144332886"/>
    <n v="300000000"/>
    <n v="280000000"/>
    <n v="1"/>
    <n v="20"/>
    <m/>
    <n v="96000000"/>
    <n v="190000000"/>
    <m/>
    <x v="1"/>
    <s v="Yes"/>
    <x v="0"/>
    <x v="1"/>
    <n v="100"/>
    <n v="0"/>
    <n v="0"/>
    <s v="No"/>
    <m/>
    <s v="No"/>
    <s v="No"/>
    <s v="Yes"/>
    <n v="0"/>
    <s v="No obstacle"/>
    <s v="No obstacle"/>
    <s v="Major obstacle"/>
    <s v="Minor obstacle"/>
    <x v="9"/>
    <s v="Are estimates computed with some precision"/>
    <n v="11"/>
    <n v="0"/>
    <n v="0"/>
    <x v="1"/>
    <n v="7.1428571428571397E-2"/>
    <n v="3.5098339013531321E-2"/>
    <s v=""/>
    <n v="15000000"/>
    <n v="0.32"/>
    <n v="0.6333333333333333"/>
    <s v=""/>
    <n v="0"/>
    <s v="Normal"/>
    <x v="1"/>
    <x v="1"/>
  </r>
  <r>
    <n v="1614723"/>
    <x v="3"/>
    <x v="1"/>
    <n v="5"/>
    <n v="1061"/>
    <n v="10"/>
    <x v="0"/>
    <n v="2020"/>
    <n v="4"/>
    <n v="1.6450884342193604"/>
    <n v="24000000"/>
    <n v="20000000"/>
    <n v="100"/>
    <n v="5"/>
    <n v="5"/>
    <n v="9000000"/>
    <n v="2000000"/>
    <n v="4000000"/>
    <x v="1"/>
    <s v="Not asked (survey skip: screener employment &lt;20)"/>
    <x v="0"/>
    <x v="0"/>
    <n v="95"/>
    <n v="0"/>
    <n v="5"/>
    <s v="No"/>
    <m/>
    <s v="No"/>
    <s v="No"/>
    <s v="Yes"/>
    <n v="5"/>
    <s v="Minor obstacle"/>
    <s v="Minor obstacle"/>
    <s v="Minor obstacle"/>
    <s v="No obstacle"/>
    <x v="0"/>
    <s v="Are in some case taken from books and in some case estimates"/>
    <n v="4"/>
    <n v="0"/>
    <n v="5"/>
    <x v="1"/>
    <n v="0.19999999999999996"/>
    <n v="9.5445115010332149E-2"/>
    <n v="0"/>
    <n v="4800000"/>
    <n v="0.375"/>
    <n v="8.3333333333333329E-2"/>
    <n v="800000"/>
    <n v="0"/>
    <s v="Normal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73C23-BEF7-45E5-A19E-CBD7DA0237E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52:F58" firstHeaderRow="1" firstDataRow="1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</pivotFields>
  <rowFields count="1">
    <field x="5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stablishment_ID" fld="0" subtotal="count" baseField="49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1704A-5AD5-48E9-94E1-9C536B9522F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3:C45" firstHeaderRow="1" firstDataRow="1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axis="axisRow" showAll="0" measureFilter="1" sortType="descending">
      <items count="22">
        <item x="5"/>
        <item x="2"/>
        <item x="11"/>
        <item x="7"/>
        <item x="18"/>
        <item x="15"/>
        <item x="6"/>
        <item x="0"/>
        <item x="3"/>
        <item x="13"/>
        <item x="9"/>
        <item x="8"/>
        <item x="20"/>
        <item x="16"/>
        <item x="17"/>
        <item x="19"/>
        <item x="1"/>
        <item x="10"/>
        <item x="14"/>
        <item x="4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 v="7"/>
    </i>
    <i>
      <x v="6"/>
    </i>
    <i>
      <x v="8"/>
    </i>
    <i>
      <x v="19"/>
    </i>
    <i>
      <x v="16"/>
    </i>
    <i>
      <x v="2"/>
    </i>
    <i>
      <x v="11"/>
    </i>
    <i>
      <x v="3"/>
    </i>
    <i>
      <x v="17"/>
    </i>
    <i>
      <x v="13"/>
    </i>
    <i>
      <x/>
    </i>
    <i t="grand">
      <x/>
    </i>
  </rowItems>
  <colItems count="1">
    <i/>
  </colItems>
  <dataFields count="1">
    <dataField name="Count of Establishment_ID" fld="0" subtotal="count" baseField="6" baseItem="0"/>
  </dataFields>
  <formats count="6"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6" type="button" dataOnly="0" labelOnly="1" outline="0" axis="axisRow" fieldPosition="0"/>
    </format>
    <format dxfId="185">
      <pivotArea dataOnly="0" labelOnly="1" fieldPosition="0">
        <references count="1">
          <reference field="6" count="0"/>
        </references>
      </pivotArea>
    </format>
    <format dxfId="184">
      <pivotArea dataOnly="0" labelOnly="1" grandRow="1" outline="0" fieldPosition="0"/>
    </format>
    <format dxfId="18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8CA5A-B9F8-4184-B0D4-D85278E7329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0:F24" firstHeaderRow="1" firstDataRow="1" firstDataCol="1"/>
  <pivotFields count="52">
    <pivotField dataField="1"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Establishment_ID" fld="0" subtotal="count" baseField="2" baseItem="0"/>
  </dataFields>
  <formats count="6"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2" type="button" dataOnly="0" labelOnly="1" outline="0" axis="axisRow" fieldPosition="0"/>
    </format>
    <format dxfId="191">
      <pivotArea dataOnly="0" labelOnly="1" fieldPosition="0">
        <references count="1">
          <reference field="2" count="0"/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DCFBA-7C96-4FE4-AB21-8EF2840A7C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4:F9" firstHeaderRow="1" firstDataRow="1" firstDataCol="1"/>
  <pivotFields count="52">
    <pivotField dataField="1"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Establishment_ID" fld="0" subtotal="count" baseField="1" baseItem="1"/>
  </dataFields>
  <formats count="6"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1" type="button" dataOnly="0" labelOnly="1" outline="0" axis="axisRow" fieldPosition="0"/>
    </format>
    <format dxfId="197">
      <pivotArea dataOnly="0" labelOnly="1" fieldPosition="0">
        <references count="1">
          <reference field="1" count="0"/>
        </references>
      </pivotArea>
    </format>
    <format dxfId="196">
      <pivotArea dataOnly="0" labelOnly="1" grandRow="1" outline="0" fieldPosition="0"/>
    </format>
    <format dxfId="195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4B8E1-CB9B-4553-8D35-82F2134EA3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2:K28" firstHeaderRow="1" firstDataRow="2" firstDataCol="1"/>
  <pivotFields count="52">
    <pivotField dataField="1"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1" baseItem="0" numFmtId="166"/>
  </dataFields>
  <formats count="22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51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51" count="0"/>
        </references>
      </pivotArea>
    </format>
    <format dxfId="100">
      <pivotArea dataOnly="0" labelOnly="1" grandCol="1" outline="0" fieldPosition="0"/>
    </format>
    <format dxfId="99">
      <pivotArea outline="0" fieldPosition="0">
        <references count="1">
          <reference field="4294967294" count="1">
            <x v="0"/>
          </reference>
        </references>
      </pivotArea>
    </format>
    <format dxfId="98">
      <pivotArea outline="0" collapsedLevelsAreSubtotals="1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51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51" count="0"/>
        </references>
      </pivotArea>
    </format>
    <format dxfId="88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F5339-61C4-4790-820B-469BE8914BA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94:K98" firstHeaderRow="1" firstDataRow="2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21" baseItem="0" numFmtId="166"/>
  </dataFields>
  <formats count="2">
    <format dxfId="111">
      <pivotArea outline="0" collapsedLevelsAreSubtotals="1" fieldPosition="0"/>
    </format>
    <format dxfId="110">
      <pivotArea type="all" dataOnly="0" outline="0" fieldPosition="0"/>
    </format>
  </formats>
  <chartFormats count="4"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E6670-BEFE-4101-97D8-3C1CB0C6F79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79:K83" firstHeaderRow="1" firstDataRow="2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20" baseItem="0" numFmtId="166"/>
  </dataFields>
  <formats count="12">
    <format dxfId="123">
      <pivotArea type="all" dataOnly="0" outline="0" fieldPosition="0"/>
    </format>
    <format dxfId="122">
      <pivotArea outline="0" collapsedLevelsAreSubtotals="1" fieldPosition="0"/>
    </format>
    <format dxfId="121">
      <pivotArea type="origin" dataOnly="0" labelOnly="1" outline="0" fieldPosition="0"/>
    </format>
    <format dxfId="120">
      <pivotArea field="51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20" type="button" dataOnly="0" labelOnly="1" outline="0" axis="axisRow" fieldPosition="0"/>
    </format>
    <format dxfId="117">
      <pivotArea dataOnly="0" labelOnly="1" fieldPosition="0">
        <references count="1">
          <reference field="20" count="0"/>
        </references>
      </pivotArea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51" count="0"/>
        </references>
      </pivotArea>
    </format>
    <format dxfId="114">
      <pivotArea dataOnly="0" labelOnly="1" grandCol="1" outline="0" fieldPosition="0"/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B1D4D-F9DB-42B9-97B4-9DC1C818048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stablishment_ID" fld="0" subtotal="count" baseField="51" baseItem="0"/>
  </dataFields>
  <formats count="12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51" type="button" dataOnly="0" labelOnly="1" outline="0" axis="axisRow" fieldPosition="0"/>
    </format>
    <format dxfId="132">
      <pivotArea dataOnly="0" labelOnly="1" fieldPosition="0">
        <references count="1">
          <reference field="51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51" type="button" dataOnly="0" labelOnly="1" outline="0" axis="axisRow" fieldPosition="0"/>
    </format>
    <format dxfId="126">
      <pivotArea dataOnly="0" labelOnly="1" fieldPosition="0">
        <references count="1">
          <reference field="51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B7592-8C94-4721-8C3A-527D1A7FFE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7:K44" firstHeaderRow="1" firstDataRow="2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</pivotFields>
  <rowFields count="1">
    <field x="5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50" baseItem="0" numFmtId="166"/>
  </dataFields>
  <formats count="22">
    <format dxfId="157">
      <pivotArea type="all" dataOnly="0" outline="0" fieldPosition="0"/>
    </format>
    <format dxfId="156">
      <pivotArea outline="0" collapsedLevelsAreSubtotals="1" fieldPosition="0"/>
    </format>
    <format dxfId="155">
      <pivotArea type="origin" dataOnly="0" labelOnly="1" outline="0" fieldPosition="0"/>
    </format>
    <format dxfId="154">
      <pivotArea field="51" type="button" dataOnly="0" labelOnly="1" outline="0" axis="axisCol" fieldPosition="0"/>
    </format>
    <format dxfId="153">
      <pivotArea type="topRight" dataOnly="0" labelOnly="1" outline="0" fieldPosition="0"/>
    </format>
    <format dxfId="152">
      <pivotArea field="50" type="button" dataOnly="0" labelOnly="1" outline="0" axis="axisRow" fieldPosition="0"/>
    </format>
    <format dxfId="151">
      <pivotArea dataOnly="0" labelOnly="1" fieldPosition="0">
        <references count="1">
          <reference field="50" count="0"/>
        </references>
      </pivotArea>
    </format>
    <format dxfId="150">
      <pivotArea dataOnly="0" labelOnly="1" grandRow="1" outline="0" fieldPosition="0"/>
    </format>
    <format dxfId="149">
      <pivotArea dataOnly="0" labelOnly="1" fieldPosition="0">
        <references count="1">
          <reference field="51" count="0"/>
        </references>
      </pivotArea>
    </format>
    <format dxfId="148">
      <pivotArea dataOnly="0" labelOnly="1" grandCol="1" outline="0" fieldPosition="0"/>
    </format>
    <format dxfId="147">
      <pivotArea outline="0" fieldPosition="0">
        <references count="1">
          <reference field="4294967294" count="1">
            <x v="0"/>
          </reference>
        </references>
      </pivotArea>
    </format>
    <format dxfId="146">
      <pivotArea outline="0" collapsedLevelsAreSubtotals="1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51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50" type="button" dataOnly="0" labelOnly="1" outline="0" axis="axisRow" fieldPosition="0"/>
    </format>
    <format dxfId="139">
      <pivotArea dataOnly="0" labelOnly="1" fieldPosition="0">
        <references count="1">
          <reference field="50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1">
          <reference field="51" count="0"/>
        </references>
      </pivotArea>
    </format>
    <format dxfId="136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7D03B-918C-4D88-A48A-FD48CEB0DAAB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F60:K64" firstHeaderRow="1" firstDataRow="2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>
      <items count="22">
        <item x="1"/>
        <item x="2"/>
        <item x="12"/>
        <item x="4"/>
        <item x="16"/>
        <item x="8"/>
        <item x="6"/>
        <item x="0"/>
        <item x="5"/>
        <item x="18"/>
        <item x="3"/>
        <item x="15"/>
        <item x="14"/>
        <item x="20"/>
        <item x="7"/>
        <item x="9"/>
        <item x="19"/>
        <item x="11"/>
        <item x="17"/>
        <item x="13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40"/>
  </rowFields>
  <rowItems count="3">
    <i>
      <x/>
    </i>
    <i>
      <x v="1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0" baseItem="0" numFmtId="166"/>
  </dataFields>
  <formats count="11">
    <format dxfId="168">
      <pivotArea type="all" dataOnly="0" outline="0" fieldPosition="0"/>
    </format>
    <format dxfId="167">
      <pivotArea outline="0" collapsedLevelsAreSubtotals="1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51" type="button" dataOnly="0" labelOnly="1" outline="0" axis="axisCol" fieldPosition="0"/>
    </format>
    <format dxfId="162">
      <pivotArea type="topRight" dataOnly="0" labelOnly="1" outline="0" fieldPosition="0"/>
    </format>
    <format dxfId="161">
      <pivotArea field="18" type="button" dataOnly="0" labelOnly="1" outline="0"/>
    </format>
    <format dxfId="160">
      <pivotArea dataOnly="0" labelOnly="1" grandRow="1" outline="0" fieldPosition="0"/>
    </format>
    <format dxfId="159">
      <pivotArea dataOnly="0" labelOnly="1" fieldPosition="0">
        <references count="1">
          <reference field="51" count="0"/>
        </references>
      </pivotArea>
    </format>
    <format dxfId="158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94EA3-0E2B-4DBB-9E09-4EBA63A5CB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0:K15" firstHeaderRow="1" firstDataRow="2" firstDataCol="1"/>
  <pivotFields count="52"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stablishment_ID" fld="0" subtotal="count" showDataAs="percentOfRow" baseField="2" baseItem="0" numFmtId="166"/>
  </dataFields>
  <formats count="12"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type="origin" dataOnly="0" labelOnly="1" outline="0" fieldPosition="0"/>
    </format>
    <format dxfId="175">
      <pivotArea field="51" type="button" dataOnly="0" labelOnly="1" outline="0" axis="axisCol" fieldPosition="0"/>
    </format>
    <format dxfId="174">
      <pivotArea type="topRight" dataOnly="0" labelOnly="1" outline="0" fieldPosition="0"/>
    </format>
    <format dxfId="173">
      <pivotArea field="2" type="button" dataOnly="0" labelOnly="1" outline="0" axis="axisRow" fieldPosition="0"/>
    </format>
    <format dxfId="172">
      <pivotArea dataOnly="0" labelOnly="1" fieldPosition="0">
        <references count="1">
          <reference field="2" count="0"/>
        </references>
      </pivotArea>
    </format>
    <format dxfId="171">
      <pivotArea dataOnly="0" labelOnly="1" grandRow="1" outline="0" fieldPosition="0"/>
    </format>
    <format dxfId="170">
      <pivotArea dataOnly="0" labelOnly="1" fieldPosition="0">
        <references count="1">
          <reference field="51" count="0"/>
        </references>
      </pivotArea>
    </format>
    <format dxfId="169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5279C-3890-4A28-A611-AA2996E878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6:D37" firstHeaderRow="1" firstDataRow="2" firstDataCol="1"/>
  <pivotFields count="52">
    <pivotField dataField="1" showAll="0"/>
    <pivotField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3"/>
        <item x="6"/>
        <item x="7"/>
        <item x="2"/>
        <item x="11"/>
        <item x="8"/>
        <item x="4"/>
        <item x="1"/>
        <item x="10"/>
        <item x="14"/>
        <item x="5"/>
        <item x="9"/>
        <item x="0"/>
        <item x="13"/>
        <item x="12"/>
        <item t="default"/>
      </items>
    </pivotField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h="1" x="0"/>
        <item h="1" x="3"/>
        <item t="default"/>
      </items>
    </pivotField>
  </pivotFields>
  <rowFields count="1">
    <field x="35"/>
  </rowFields>
  <rowItems count="10">
    <i>
      <x/>
    </i>
    <i>
      <x v="1"/>
    </i>
    <i>
      <x v="3"/>
    </i>
    <i>
      <x v="5"/>
    </i>
    <i>
      <x v="6"/>
    </i>
    <i>
      <x v="7"/>
    </i>
    <i>
      <x v="10"/>
    </i>
    <i>
      <x v="11"/>
    </i>
    <i>
      <x v="12"/>
    </i>
    <i t="grand">
      <x/>
    </i>
  </rowItems>
  <colFields count="1">
    <field x="51"/>
  </colFields>
  <colItems count="3">
    <i>
      <x/>
    </i>
    <i>
      <x v="1"/>
    </i>
    <i t="grand">
      <x/>
    </i>
  </colItems>
  <dataFields count="1">
    <dataField name="Count of Establishment_ID" fld="0" subtotal="count" showDataAs="percentOfCol" baseField="35" baseItem="0" numFmtId="10"/>
  </dataFields>
  <chartFormats count="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5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ufacturingRawTable" displayName="ManufacturingRawTable" ref="A1:AI218" totalsRowShown="0">
  <tableColumns count="35">
    <tableColumn id="1" xr3:uid="{00000000-0010-0000-0100-000001000000}" name="idstd"/>
    <tableColumn id="2" xr3:uid="{00000000-0010-0000-0100-000002000000}" name="a2"/>
    <tableColumn id="3" xr3:uid="{00000000-0010-0000-0100-000003000000}" name="a6a"/>
    <tableColumn id="4" xr3:uid="{00000000-0010-0000-0100-000004000000}" name="a6c"/>
    <tableColumn id="5" xr3:uid="{00000000-0010-0000-0100-000005000000}" name="d1a2_v4"/>
    <tableColumn id="6" xr3:uid="{00000000-0010-0000-0100-000006000000}" name="b5"/>
    <tableColumn id="7" xr3:uid="{00000000-0010-0000-0100-000007000000}" name="b7"/>
    <tableColumn id="8" xr3:uid="{00000000-0010-0000-0100-000008000000}" name="wmedian"/>
    <tableColumn id="9" xr3:uid="{00000000-0010-0000-0100-000009000000}" name="d2"/>
    <tableColumn id="10" xr3:uid="{00000000-0010-0000-0100-00000A000000}" name="n3"/>
    <tableColumn id="11" xr3:uid="{00000000-0010-0000-0100-00000B000000}" name="f1"/>
    <tableColumn id="12" xr3:uid="{00000000-0010-0000-0100-00000C000000}" name="l1"/>
    <tableColumn id="13" xr3:uid="{00000000-0010-0000-0100-00000D000000}" name="l2"/>
    <tableColumn id="14" xr3:uid="{00000000-0010-0000-0100-00000E000000}" name="n2a"/>
    <tableColumn id="15" xr3:uid="{00000000-0010-0000-0100-00000F000000}" name="n2e"/>
    <tableColumn id="16" xr3:uid="{00000000-0010-0000-0100-000010000000}" name="n7a"/>
    <tableColumn id="17" xr3:uid="{00000000-0010-0000-0100-000011000000}" name="d3c"/>
    <tableColumn id="18" xr3:uid="{00000000-0010-0000-0100-000012000000}" name="r2"/>
    <tableColumn id="19" xr3:uid="{00000000-0010-0000-0100-000013000000}" name="h1"/>
    <tableColumn id="20" xr3:uid="{00000000-0010-0000-0100-000014000000}" name="h5"/>
    <tableColumn id="21" xr3:uid="{00000000-0010-0000-0100-000015000000}" name="k3a"/>
    <tableColumn id="22" xr3:uid="{00000000-0010-0000-0100-000016000000}" name="k3bc"/>
    <tableColumn id="23" xr3:uid="{00000000-0010-0000-0100-000017000000}" name="k3f"/>
    <tableColumn id="24" xr3:uid="{00000000-0010-0000-0100-000018000000}" name="k4"/>
    <tableColumn id="25" xr3:uid="{00000000-0010-0000-0100-000019000000}" name="n5a"/>
    <tableColumn id="26" xr3:uid="{00000000-0010-0000-0100-00001A000000}" name="k82a"/>
    <tableColumn id="27" xr3:uid="{00000000-0010-0000-0100-00001B000000}" name="k162a"/>
    <tableColumn id="28" xr3:uid="{00000000-0010-0000-0100-00001C000000}" name="c6"/>
    <tableColumn id="29" xr3:uid="{00000000-0010-0000-0100-00001D000000}" name="c7"/>
    <tableColumn id="30" xr3:uid="{00000000-0010-0000-0100-00001E000000}" name="c30a"/>
    <tableColumn id="31" xr3:uid="{00000000-0010-0000-0100-00001F000000}" name="k30"/>
    <tableColumn id="32" xr3:uid="{00000000-0010-0000-0100-000020000000}" name="l30b"/>
    <tableColumn id="33" xr3:uid="{00000000-0010-0000-0100-000021000000}" name="e30"/>
    <tableColumn id="34" xr3:uid="{00000000-0010-0000-0100-000022000000}" name="m1a"/>
    <tableColumn id="35" xr3:uid="{00000000-0010-0000-0100-000023000000}" name="a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facturingCleanTable" displayName="ManufacturingCleanTable" ref="A1:AZ218" totalsRowShown="0">
  <autoFilter ref="A1:AZ218" xr:uid="{00000000-000C-0000-FFFF-FFFF00000000}"/>
  <tableColumns count="52">
    <tableColumn id="1" xr3:uid="{00000000-0010-0000-0000-000001000000}" name="Establishment_ID"/>
    <tableColumn id="2" xr3:uid="{00000000-0010-0000-0000-000002000000}" name="Region"/>
    <tableColumn id="3" xr3:uid="{00000000-0010-0000-0000-000003000000}" name="Size_Category"/>
    <tableColumn id="4" xr3:uid="{00000000-0010-0000-0000-000004000000}" name="Screener_Employees"/>
    <tableColumn id="5" xr3:uid="{00000000-0010-0000-0000-000005000000}" name="ISIC_Rev4_Code"/>
    <tableColumn id="6" xr3:uid="{00000000-0010-0000-0000-000006000000}" name="ISIC_Division"/>
    <tableColumn id="7" xr3:uid="{00000000-0010-0000-0000-000007000000}" name="Manufacturing_Subsector"/>
    <tableColumn id="8" xr3:uid="{00000000-0010-0000-0000-000008000000}" name="Year_Started"/>
    <tableColumn id="9" xr3:uid="{00000000-0010-0000-0000-000009000000}" name="Manager_Experience_Years"/>
    <tableColumn id="10" xr3:uid="{00000000-0010-0000-0000-00000A000000}" name="Survey_Weight_Median"/>
    <tableColumn id="11" xr3:uid="{00000000-0010-0000-0000-00000B000000}" name="Annual_Sales_2024_UGX"/>
    <tableColumn id="12" xr3:uid="{00000000-0010-0000-0000-00000C000000}" name="Annual_Sales_2022_UGX"/>
    <tableColumn id="13" xr3:uid="{00000000-0010-0000-0000-00000D000000}" name="Capacity_Utilization_Pct"/>
    <tableColumn id="14" xr3:uid="{00000000-0010-0000-0000-00000E000000}" name="Permanent_FT_Employees_2024"/>
    <tableColumn id="15" xr3:uid="{00000000-0010-0000-0000-00000F000000}" name="Permanent_FT_Employees_2022"/>
    <tableColumn id="16" xr3:uid="{00000000-0010-0000-0000-000010000000}" name="Labor_Cost_2024_UGX"/>
    <tableColumn id="17" xr3:uid="{00000000-0010-0000-0000-000011000000}" name="Raw_Materials_Cost_2024_UGX"/>
    <tableColumn id="18" xr3:uid="{00000000-0010-0000-0000-000012000000}" name="Machinery_Replacement_Value_UGX"/>
    <tableColumn id="19" xr3:uid="{00000000-0010-0000-0000-000013000000}" name="Direct_Exports_Pct"/>
    <tableColumn id="20" xr3:uid="{00000000-0010-0000-0000-000014000000}" name="Monitors_Performance_Indicators"/>
    <tableColumn id="21" xr3:uid="{00000000-0010-0000-0000-000015000000}" name="Introduced_New_Product_Service"/>
    <tableColumn id="22" xr3:uid="{00000000-0010-0000-0000-000016000000}" name="Introduced_Improved_Process"/>
    <tableColumn id="23" xr3:uid="{00000000-0010-0000-0000-000017000000}" name="Working_Capital_Internal_Pct"/>
    <tableColumn id="24" xr3:uid="{00000000-0010-0000-0000-000018000000}" name="Working_Capital_Bank_Pct"/>
    <tableColumn id="25" xr3:uid="{00000000-0010-0000-0000-000019000000}" name="Working_Capital_Supplier_Credit_Pct"/>
    <tableColumn id="26" xr3:uid="{00000000-0010-0000-0000-00001A000000}" name="Purchased_Fixed_Assets"/>
    <tableColumn id="27" xr3:uid="{00000000-0010-0000-0000-00001B000000}" name="Equipment_Investment_Raw_UGX"/>
    <tableColumn id="28" xr3:uid="{00000000-0010-0000-0000-00001C000000}" name="Has_Financial_Institution_Loan"/>
    <tableColumn id="29" xr3:uid="{00000000-0010-0000-0000-00001D000000}" name="Applied_For_Loan_2024"/>
    <tableColumn id="30" xr3:uid="{00000000-0010-0000-0000-00001E000000}" name="Experienced_Power_Outages"/>
    <tableColumn id="31" xr3:uid="{00000000-0010-0000-0000-00001F000000}" name="Power_Outages_Per_Month_Raw"/>
    <tableColumn id="32" xr3:uid="{00000000-0010-0000-0000-000020000000}" name="Electricity_Obstacle"/>
    <tableColumn id="33" xr3:uid="{00000000-0010-0000-0000-000021000000}" name="Access_to_Finance_Obstacle"/>
    <tableColumn id="34" xr3:uid="{00000000-0010-0000-0000-000022000000}" name="Workforce_Skills_Obstacle"/>
    <tableColumn id="35" xr3:uid="{00000000-0010-0000-0000-000023000000}" name="Informal_Competition_Obstacle"/>
    <tableColumn id="36" xr3:uid="{00000000-0010-0000-0000-000024000000}" name="Biggest_Obstacle"/>
    <tableColumn id="37" xr3:uid="{00000000-0010-0000-0000-000025000000}" name="Figures_Response_Quality"/>
    <tableColumn id="38" xr3:uid="{00000000-0010-0000-0000-000026000000}" name="Establishment_Age_Years"/>
    <tableColumn id="39" xr3:uid="{00000000-0010-0000-0000-000027000000}" name="Equipment_Investment_UGX"/>
    <tableColumn id="40" xr3:uid="{00000000-0010-0000-0000-000028000000}" name="Power_Outages_Per_Month"/>
    <tableColumn id="41" xr3:uid="{00000000-0010-0000-0000-000029000000}" name="Direct_Exporter"/>
    <tableColumn id="42" xr3:uid="{00000000-0010-0000-0000-00002A000000}" name="Sales_Growth_2022_2024_Pct"/>
    <tableColumn id="43" xr3:uid="{00000000-0010-0000-0000-00002B000000}" name="Sales_CAGR_2022_2024_Pct"/>
    <tableColumn id="44" xr3:uid="{00000000-0010-0000-0000-00002C000000}" name="Employment_Growth_2022_2024_Pct"/>
    <tableColumn id="45" xr3:uid="{00000000-0010-0000-0000-00002D000000}" name="Sales_per_Employee_UGX"/>
    <tableColumn id="46" xr3:uid="{00000000-0010-0000-0000-00002E000000}" name="Labor_Cost_Pct_of_Sales"/>
    <tableColumn id="47" xr3:uid="{00000000-0010-0000-0000-00002F000000}" name="Raw_Materials_Cost_Pct_of_Sales"/>
    <tableColumn id="48" xr3:uid="{00000000-0010-0000-0000-000030000000}" name="Machinery_Value_per_Employee_UGX"/>
    <tableColumn id="49" xr3:uid="{00000000-0010-0000-0000-000031000000}" name="Equipment_Investment_Pct_of_Sales"/>
    <tableColumn id="52" xr3:uid="{250C6770-E906-49A1-9801-C8EBE08ECFB2}" name="Sales_Outlier_Flag" dataDxfId="218">
      <calculatedColumnFormula>IF(OR(K2&lt;Outlier_Audit!$H$2,K2&gt;Outlier_Audit!$I$2),"Review","Normal")</calculatedColumnFormula>
    </tableColumn>
    <tableColumn id="51" xr3:uid="{190D4AF7-EBA9-4767-A28D-7F794718ABCC}" name="Firm_Age_Band" dataDxfId="217">
      <calculatedColumnFormula>IF(AL2="","Unknown",IF(AL2&lt;10,"&lt;10 years",IF(AL2&lt;20,"10-19 years",IF(AL2&lt;30,"20-29 years","30+ years"))))</calculatedColumnFormula>
    </tableColumn>
    <tableColumn id="53" xr3:uid="{AA7BD1C4-EC05-427F-A250-F65E0A0ECBAD}" name="Performance_Group" dataDxfId="216">
      <calculatedColumnFormula>IF(AQ2="","Missing",IF(AQ2&gt;=EDA_Performance!$B$7,"High Growth",IF(AQ2&lt;=EDA_Performance!$B$5,"Low Growth","Middle")))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E4AA40-7835-4D4A-8956-803B064B59C9}" name="Table7" displayName="Table7" ref="A1:F9" totalsRowShown="0">
  <autoFilter ref="A1:F9" xr:uid="{74E4AA40-7835-4D4A-8956-803B064B59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229D07B-C63B-4BC1-B50D-D0491F291469}" name="Metric"/>
    <tableColumn id="2" xr3:uid="{DD9D906E-7CA1-46C1-A008-D4B1563E9312}" name="Total Rows">
      <calculatedColumnFormula>ROWS(Clean_Working!K$2:K$218)</calculatedColumnFormula>
    </tableColumn>
    <tableColumn id="3" xr3:uid="{B603D9C3-F180-40D3-B3FA-EE3D0E591CBF}" name="Blank Cells"/>
    <tableColumn id="4" xr3:uid="{AA47E4BD-3261-4136-AFE8-F3BBCCB636E3}" name="Usable Values">
      <calculatedColumnFormula>B2-C2</calculatedColumnFormula>
    </tableColumn>
    <tableColumn id="5" xr3:uid="{DD58B7BC-D1BE-42DF-9DA6-5C3FE4E32630}" name="Completeness %" dataDxfId="215">
      <calculatedColumnFormula>D2/B2</calculatedColumnFormula>
    </tableColumn>
    <tableColumn id="6" xr3:uid="{BC79983E-2AA4-47AD-A097-DEC24C4A5540}" name="Status">
      <calculatedColumnFormula>IF(E2&gt;=95%,"High",IF(E2&gt;=80%,"Acceptable","Review"))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59E836-CF03-4A8F-93E8-D0AC60A74B05}" name="Table6" displayName="Table6" ref="A1:H15" totalsRowShown="0">
  <autoFilter ref="A1:H15" xr:uid="{8F59E836-CF03-4A8F-93E8-D0AC60A74B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9AA2249-D6CA-47D4-9503-B92664BB22A7}" name="Field"/>
    <tableColumn id="2" xr3:uid="{980BE5A0-F835-458D-86BC-1214B6EC92BF}" name="Column"/>
    <tableColumn id="3" xr3:uid="{BC56FB50-9831-4BA0-B589-80D3BF9F8E58}" name="Expected Type"/>
    <tableColumn id="4" xr3:uid="{6ADD1A3B-05E1-47DB-BA05-43CBA77BC595}" name="Valid Rule"/>
    <tableColumn id="5" xr3:uid="{8257C41D-F9A2-47EE-B6CB-DC9B67CC25A8}" name="Nonblank">
      <calculatedColumnFormula>COUNTA(Clean_Working!H$2:H$218)</calculatedColumnFormula>
    </tableColumn>
    <tableColumn id="6" xr3:uid="{26997D63-AF8E-429C-801A-70FABA781D99}" name="Numeric">
      <calculatedColumnFormula>COUNT(Clean_Working!H$2:H$218)</calculatedColumnFormula>
    </tableColumn>
    <tableColumn id="7" xr3:uid="{A0094133-C54A-4DD6-B3CE-514AD602489D}" name="Type Issues">
      <calculatedColumnFormula>E2-F2</calculatedColumnFormula>
    </tableColumn>
    <tableColumn id="8" xr3:uid="{5125A641-4AEB-4CE3-BB5F-D0986B6E6EFF}" name="Range Issues">
      <calculatedColumnFormula>COUNTIF(Clean_Working!H$2:H$218,"&lt;=0")+COUNTIF(Clean_Working!H$2:H$218,"&gt;2024")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EE3C8C-D7BB-4B18-9906-81413652A855}" name="Table5" displayName="Table5" ref="A1:J9" totalsRowShown="0" headerRowDxfId="214" headerRowBorderDxfId="213" tableBorderDxfId="212" totalsRowBorderDxfId="211">
  <autoFilter ref="A1:J9" xr:uid="{48EE3C8C-D7BB-4B18-9906-81413652A8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D46AF34-0A9D-46D4-B4F3-7A26062CBB7F}" name="Metric" dataDxfId="210"/>
    <tableColumn id="2" xr3:uid="{27F7E5B5-402D-4285-8148-267B13B5B723}" name="Minimum" dataDxfId="209"/>
    <tableColumn id="3" xr3:uid="{6E436E86-2B6E-40B9-912F-A9802FC6417B}" name="Q1" dataDxfId="208"/>
    <tableColumn id="4" xr3:uid="{B36D26FC-3831-4086-937C-66CB4591EDE3}" name="Median" dataDxfId="207"/>
    <tableColumn id="5" xr3:uid="{4276A909-CA5F-4143-AE4A-3FECE5DF9BD6}" name="Q3" dataDxfId="206"/>
    <tableColumn id="6" xr3:uid="{C69A3EED-190D-4016-8131-7AC724711327}" name="Maximum" dataDxfId="205"/>
    <tableColumn id="7" xr3:uid="{B1178424-59C4-4D7D-B150-D91615DA9638}" name="IQR" dataDxfId="204">
      <calculatedColumnFormula>E2-C2</calculatedColumnFormula>
    </tableColumn>
    <tableColumn id="8" xr3:uid="{C479A4E4-75FD-4A21-87E7-1DEE150FEA74}" name="Lower Bound" dataDxfId="203">
      <calculatedColumnFormula>C2-(1.5*G2)</calculatedColumnFormula>
    </tableColumn>
    <tableColumn id="9" xr3:uid="{0F5A5695-C2FD-4440-B9A2-2EB64CF604A7}" name="Upper Bound" dataDxfId="202">
      <calculatedColumnFormula>E2+(1.5*G2)</calculatedColumnFormula>
    </tableColumn>
    <tableColumn id="10" xr3:uid="{FBFFF54D-0ABA-4D75-B757-553E0A2007D9}" name="Outlier Count" dataDxfId="201">
      <calculatedColumnFormula>COUNTIF(Clean_Working!K$2:K$218,"&lt;"&amp;H2)+COUNTIF(Clean_Working!K$2:K$218,"&gt;"&amp;I2)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F4BFF-826B-494D-9BFD-52A5CAFCAE18}" name="Table4" displayName="Table4" ref="B4:C10" headerRowCount="0" totalsRowShown="0" tableBorderDxfId="182">
  <tableColumns count="2">
    <tableColumn id="1" xr3:uid="{DD7D0D23-401F-45CE-91EB-CCBE460A1D16}" name="KPI OVERVIEW" dataDxfId="181"/>
    <tableColumn id="2" xr3:uid="{60D06518-132A-421E-9BA7-E398A303BC4A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40CD73-BB97-453F-AE2C-78B89D8D3DB4}" name="Table8" displayName="Table8" ref="A3:B7" totalsRowShown="0" headerRowDxfId="87" dataDxfId="85" headerRowBorderDxfId="86" tableBorderDxfId="84" totalsRowBorderDxfId="83">
  <autoFilter ref="A3:B7" xr:uid="{A040CD73-BB97-453F-AE2C-78B89D8D3DB4}">
    <filterColumn colId="0" hiddenButton="1"/>
    <filterColumn colId="1" hiddenButton="1"/>
  </autoFilter>
  <tableColumns count="2">
    <tableColumn id="1" xr3:uid="{67F0AF4C-C910-4C66-90F5-BDB024EACC83}" name="Performance Threshold" dataDxfId="82"/>
    <tableColumn id="2" xr3:uid="{83A333E1-4D2C-4F59-9B2A-86F4969127DC}" name="Value" dataDxfId="8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34036E-A28D-48E1-84B2-8FFD2E2900CD}" name="Table9" displayName="Table9" ref="A10:D16" totalsRowShown="0" headerRowDxfId="80" dataDxfId="78" headerRowBorderDxfId="79" tableBorderDxfId="77" totalsRowBorderDxfId="76">
  <autoFilter ref="A10:D16" xr:uid="{1D34036E-A28D-48E1-84B2-8FFD2E2900CD}">
    <filterColumn colId="0" hiddenButton="1"/>
    <filterColumn colId="1" hiddenButton="1"/>
    <filterColumn colId="2" hiddenButton="1"/>
    <filterColumn colId="3" hiddenButton="1"/>
  </autoFilter>
  <tableColumns count="4">
    <tableColumn id="1" xr3:uid="{30423438-5FCC-4991-BF28-C4D364A2395A}" name="Metric" dataDxfId="75"/>
    <tableColumn id="2" xr3:uid="{86871DA8-88E3-40AD-B755-62460A5E8EA9}" name="High Growth" dataDxfId="74">
      <calculatedColumnFormula array="1">MEDIAN(_xlfn._xlws.FILTER(Clean_Working!$AQ$2:$AQ$218,Clean_Working!$AZ$2:$AZ$218=B$10))</calculatedColumnFormula>
    </tableColumn>
    <tableColumn id="3" xr3:uid="{DC4FCF37-07A8-4613-9383-D27445C9E700}" name="Low Growth" dataDxfId="73">
      <calculatedColumnFormula array="1">MEDIAN(_xlfn._xlws.FILTER(Clean_Working!$AQ$2:$AQ$218,Clean_Working!$AZ$2:$AZ$218=C$10))</calculatedColumnFormula>
    </tableColumn>
    <tableColumn id="4" xr3:uid="{1AFB7CF2-039F-4F83-9D36-239A52A6D8B0}" name="Difference" dataDxfId="72">
      <calculatedColumnFormula>B11-C11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BC6B4F-0F00-4830-B572-51AA162EA931}" name="Table10" displayName="Table10" ref="A4:D6" totalsRowShown="0" headerRowDxfId="71" dataDxfId="69" headerRowBorderDxfId="70" tableBorderDxfId="68" totalsRowBorderDxfId="67">
  <autoFilter ref="A4:D6" xr:uid="{9EBC6B4F-0F00-4830-B572-51AA162EA931}">
    <filterColumn colId="0" hiddenButton="1"/>
    <filterColumn colId="1" hiddenButton="1"/>
    <filterColumn colId="2" hiddenButton="1"/>
    <filterColumn colId="3" hiddenButton="1"/>
  </autoFilter>
  <tableColumns count="4">
    <tableColumn id="1" xr3:uid="{7F280CBE-328A-4FFD-BD0A-281C154CC3F4}" name="Metric" dataDxfId="66" totalsRowDxfId="65"/>
    <tableColumn id="2" xr3:uid="{80ACBC8A-6687-4874-AB5A-1741C9871D3A}" name="High Growth" dataDxfId="64" totalsRowDxfId="63" dataCellStyle="Percent" totalsRowCellStyle="Percent">
      <calculatedColumnFormula array="1">MEDIAN(_xlfn._xlws.FILTER(Clean_Working!$W$2:$W$218,Clean_Working!$AZ$2:$AZ$218="High Growth"))</calculatedColumnFormula>
    </tableColumn>
    <tableColumn id="3" xr3:uid="{1FC18906-D4B9-407C-9603-411E45A042F2}" name="Low Growth" dataDxfId="62" totalsRowDxfId="61" dataCellStyle="Percent" totalsRowCellStyle="Percent">
      <calculatedColumnFormula array="1">MEDIAN(_xlfn._xlws.FILTER(Clean_Working!$W$2:$W$218,Clean_Working!$AZ$2:$AZ$218="Low Growth"))</calculatedColumnFormula>
    </tableColumn>
    <tableColumn id="4" xr3:uid="{D3B03705-2520-40ED-863E-F894B3179B8D}" name="Difference (pp / %)" dataDxfId="60" totalsRowDxfId="59" dataCellStyle="Percent" totalsRowCellStyle="Percent">
      <calculatedColumnFormula>B5-C5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84ECA7-68B0-4974-88BB-DC2DE8E95184}" name="Table11" displayName="Table11" ref="A9:D12" totalsRowShown="0" headerRowDxfId="58" dataDxfId="56" headerRowBorderDxfId="57" tableBorderDxfId="55" totalsRowBorderDxfId="54">
  <autoFilter ref="A9:D12" xr:uid="{6984ECA7-68B0-4974-88BB-DC2DE8E95184}">
    <filterColumn colId="0" hiddenButton="1"/>
    <filterColumn colId="1" hiddenButton="1"/>
    <filterColumn colId="2" hiddenButton="1"/>
    <filterColumn colId="3" hiddenButton="1"/>
  </autoFilter>
  <tableColumns count="4">
    <tableColumn id="1" xr3:uid="{5962D2D9-E707-4EBE-83DD-2EA29C3B800E}" name="Metric" dataDxfId="53"/>
    <tableColumn id="2" xr3:uid="{471459ED-D1BB-4921-9E2F-1566129285B0}" name="High Growth" dataDxfId="52" dataCellStyle="Percent"/>
    <tableColumn id="3" xr3:uid="{A5E2CA26-0E59-4FB8-8F89-DB7D9B923254}" name="Low Growth" dataDxfId="51" dataCellStyle="Percent"/>
    <tableColumn id="4" xr3:uid="{DCC91ADB-D749-4BC4-B59F-21AD4BDAE17A}" name="Difference " dataDxfId="50" dataCellStyle="Percent">
      <calculatedColumnFormula>B10-C10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E823EF-B4A0-4F12-9723-976890F69837}" name="Table12" displayName="Table12" ref="A21:D25" headerRowCount="0" totalsRowShown="0" headerRowDxfId="49" dataDxfId="47" headerRowBorderDxfId="48" tableBorderDxfId="46" totalsRowBorderDxfId="45">
  <tableColumns count="4">
    <tableColumn id="1" xr3:uid="{B6B0BFAA-DB86-41B6-8286-6B39624A8B81}" name="Column1" headerRowDxfId="44" dataDxfId="43"/>
    <tableColumn id="2" xr3:uid="{3EEDBD7A-19CC-433A-AEFA-B72E8459293F}" name="Column2" headerRowDxfId="42" dataDxfId="41"/>
    <tableColumn id="3" xr3:uid="{3787ADAD-D0E9-476A-8CA5-406BA719678A}" name="Column3" headerRowDxfId="40" dataDxfId="39"/>
    <tableColumn id="4" xr3:uid="{D8B4C580-10B1-4FCE-ACF0-BAC17DEB989A}" name="Column4" headerRowDxfId="38" dataDxfId="3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C96288-2DA6-4052-87EB-AF811FC26ABD}" name="Table13" displayName="Table13" ref="A39:D42" headerRowCount="0" totalsRowShown="0" headerRowDxfId="36" dataDxfId="34" headerRowBorderDxfId="35" tableBorderDxfId="33" totalsRowBorderDxfId="32">
  <tableColumns count="4">
    <tableColumn id="1" xr3:uid="{94B8C852-8AD2-42F7-A74D-A05C9A98F398}" name="Column1" headerRowDxfId="31" dataDxfId="30"/>
    <tableColumn id="2" xr3:uid="{EE5CB3B6-194A-41B9-95A4-D04F499CB979}" name="Column2" headerRowDxfId="29" dataDxfId="28"/>
    <tableColumn id="3" xr3:uid="{7F1E0DA6-CC4F-4BBB-8773-A1A2063E3F11}" name="Column3" headerRowDxfId="27" dataDxfId="26"/>
    <tableColumn id="4" xr3:uid="{537E4D31-4D4E-4CD8-A54E-629166AB73B5}" name="Column4" headerRowDxfId="25" dataDxfId="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932365-77F3-4543-8398-FC1266111461}" name="Table14" displayName="Table14" ref="A4:D8" headerRowCount="0" totalsRowShown="0" headerRowDxfId="23" tableBorderDxfId="22" totalsRowBorderDxfId="21">
  <tableColumns count="4">
    <tableColumn id="1" xr3:uid="{0377BF75-8268-4144-816C-3ECEC358FC3C}" name="Column1" dataDxfId="20"/>
    <tableColumn id="2" xr3:uid="{F6001E8B-538D-4736-8689-5A82B43F58E4}" name="Column2" dataDxfId="19"/>
    <tableColumn id="3" xr3:uid="{A044988A-6290-46A2-92D7-C742515BC4F1}" name="Column3" dataDxfId="18"/>
    <tableColumn id="4" xr3:uid="{9F818B09-1CB8-4190-856B-168CF1C12893}" name="Column4" dataDxfId="1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BBF8C3-EF4A-4853-B01C-B04C8ED1BF69}" name="Table15" displayName="Table15" ref="A11:D15" totalsRowShown="0" headerRowDxfId="16" headerRowBorderDxfId="15" tableBorderDxfId="14" totalsRowBorderDxfId="13">
  <autoFilter ref="A11:D15" xr:uid="{93BBF8C3-EF4A-4853-B01C-B04C8ED1BF69}">
    <filterColumn colId="0" hiddenButton="1"/>
    <filterColumn colId="1" hiddenButton="1"/>
    <filterColumn colId="2" hiddenButton="1"/>
    <filterColumn colId="3" hiddenButton="1"/>
  </autoFilter>
  <tableColumns count="4">
    <tableColumn id="1" xr3:uid="{B4040B63-C711-4C2A-9C24-C29D574FB3A8}" name="Constraint" dataDxfId="12"/>
    <tableColumn id="2" xr3:uid="{67192A82-DD90-47ED-81F4-B0856A4F128A}" name="High Growth" dataDxfId="11"/>
    <tableColumn id="3" xr3:uid="{BC58277C-ED92-4E14-829A-5867FDDED5D2}" name="Low Growth" dataDxfId="10"/>
    <tableColumn id="4" xr3:uid="{7BCEB961-66CD-4759-A97A-742A3575F0C8}" name="Low - High (pp)" dataDxfId="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B6F943E-D8ED-45BE-A4FB-5B046A6C2FC9}" name="Table17" displayName="Table17" ref="A19:D22" totalsRowShown="0" headerRowDxfId="8" headerRowBorderDxfId="7" tableBorderDxfId="6" totalsRowBorderDxfId="5">
  <autoFilter ref="A19:D22" xr:uid="{2B6F943E-D8ED-45BE-A4FB-5B046A6C2FC9}">
    <filterColumn colId="0" hiddenButton="1"/>
    <filterColumn colId="1" hiddenButton="1"/>
    <filterColumn colId="2" hiddenButton="1"/>
    <filterColumn colId="3" hiddenButton="1"/>
  </autoFilter>
  <tableColumns count="4">
    <tableColumn id="1" xr3:uid="{C51D60BC-2CCC-426B-B916-81DB16805002}" name="Metric" dataDxfId="4"/>
    <tableColumn id="2" xr3:uid="{CA70C5F7-C617-4945-A940-365BDB81C650}" name="High Growth" dataDxfId="3"/>
    <tableColumn id="3" xr3:uid="{174E4696-5BEB-4D42-946B-7DB6F2BF3DDB}" name="Low Growth" dataDxfId="2"/>
    <tableColumn id="4" xr3:uid="{B1CFCFC2-DCE4-42A4-86A4-FA305CFDD791}" name="Difference" dataDxfId="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ableDictionaryTable" displayName="VariableDictionaryTable" ref="A1:J50" totalsRowShown="0">
  <tableColumns count="10">
    <tableColumn id="1" xr3:uid="{00000000-0010-0000-0200-000001000000}" name="Type"/>
    <tableColumn id="2" xr3:uid="{00000000-0010-0000-0200-000002000000}" name="Stata Variable"/>
    <tableColumn id="3" xr3:uid="{00000000-0010-0000-0200-000003000000}" name="Clean Column"/>
    <tableColumn id="4" xr3:uid="{00000000-0010-0000-0200-000004000000}" name="Questionnaire Section"/>
    <tableColumn id="5" xr3:uid="{00000000-0010-0000-0200-000005000000}" name="Description / Question"/>
    <tableColumn id="6" xr3:uid="{00000000-0010-0000-0200-000006000000}" name="Cleaning / Formula / Use"/>
    <tableColumn id="7" xr3:uid="{00000000-0010-0000-0200-000007000000}" name="Manufacturing Rows"/>
    <tableColumn id="8" xr3:uid="{00000000-0010-0000-0200-000008000000}" name="Structural Blanks"/>
    <tableColumn id="9" xr3:uid="{00000000-0010-0000-0200-000009000000}" name="Special-Code Responses"/>
    <tableColumn id="10" xr3:uid="{00000000-0010-0000-0200-00000A000000}" name="Usable / Informa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table" Target="../tables/table8.xml"/><Relationship Id="rId4" Type="http://schemas.openxmlformats.org/officeDocument/2006/relationships/pivotTable" Target="../pivotTables/pivotTable8.xml"/><Relationship Id="rId9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18"/>
  <sheetViews>
    <sheetView workbookViewId="0"/>
  </sheetViews>
  <sheetFormatPr defaultRowHeight="13.8"/>
  <cols>
    <col min="1" max="35" width="14" customWidth="1"/>
  </cols>
  <sheetData>
    <row r="1" spans="1:35" ht="27.15" customHeight="1">
      <c r="A1" s="6" t="s">
        <v>103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114</v>
      </c>
      <c r="M1" s="7" t="s">
        <v>115</v>
      </c>
      <c r="N1" s="7" t="s">
        <v>116</v>
      </c>
      <c r="O1" s="7" t="s">
        <v>117</v>
      </c>
      <c r="P1" s="7" t="s">
        <v>118</v>
      </c>
      <c r="Q1" s="7" t="s">
        <v>119</v>
      </c>
      <c r="R1" s="7" t="s">
        <v>120</v>
      </c>
      <c r="S1" s="7" t="s">
        <v>121</v>
      </c>
      <c r="T1" s="7" t="s">
        <v>122</v>
      </c>
      <c r="U1" s="7" t="s">
        <v>123</v>
      </c>
      <c r="V1" s="7" t="s">
        <v>124</v>
      </c>
      <c r="W1" s="7" t="s">
        <v>125</v>
      </c>
      <c r="X1" s="7" t="s">
        <v>126</v>
      </c>
      <c r="Y1" s="7" t="s">
        <v>127</v>
      </c>
      <c r="Z1" s="7" t="s">
        <v>128</v>
      </c>
      <c r="AA1" s="7" t="s">
        <v>129</v>
      </c>
      <c r="AB1" s="7" t="s">
        <v>130</v>
      </c>
      <c r="AC1" s="7" t="s">
        <v>131</v>
      </c>
      <c r="AD1" s="7" t="s">
        <v>132</v>
      </c>
      <c r="AE1" s="7" t="s">
        <v>133</v>
      </c>
      <c r="AF1" s="7" t="s">
        <v>134</v>
      </c>
      <c r="AG1" s="7" t="s">
        <v>135</v>
      </c>
      <c r="AH1" s="7" t="s">
        <v>136</v>
      </c>
      <c r="AI1" s="8" t="s">
        <v>137</v>
      </c>
    </row>
    <row r="2" spans="1:35">
      <c r="A2" s="9">
        <v>1614120</v>
      </c>
      <c r="B2">
        <v>3</v>
      </c>
      <c r="C2">
        <v>3</v>
      </c>
      <c r="D2">
        <v>1000</v>
      </c>
      <c r="E2">
        <v>1073</v>
      </c>
      <c r="F2">
        <v>1986</v>
      </c>
      <c r="G2">
        <v>24</v>
      </c>
      <c r="H2">
        <v>1</v>
      </c>
      <c r="I2">
        <v>1200000000</v>
      </c>
      <c r="J2">
        <v>900000000</v>
      </c>
      <c r="K2">
        <v>20</v>
      </c>
      <c r="L2">
        <v>250</v>
      </c>
      <c r="M2">
        <v>180</v>
      </c>
      <c r="N2">
        <v>500000000</v>
      </c>
      <c r="O2">
        <v>200000000</v>
      </c>
      <c r="P2">
        <v>350000000</v>
      </c>
      <c r="Q2">
        <v>25</v>
      </c>
      <c r="R2">
        <v>1</v>
      </c>
      <c r="S2">
        <v>2</v>
      </c>
      <c r="T2">
        <v>2</v>
      </c>
      <c r="U2">
        <v>85</v>
      </c>
      <c r="V2">
        <v>0</v>
      </c>
      <c r="W2">
        <v>0</v>
      </c>
      <c r="X2">
        <v>2</v>
      </c>
      <c r="Z2">
        <v>2</v>
      </c>
      <c r="AA2">
        <v>2</v>
      </c>
      <c r="AB2">
        <v>1</v>
      </c>
      <c r="AC2">
        <v>6</v>
      </c>
      <c r="AD2">
        <v>2</v>
      </c>
      <c r="AE2">
        <v>3</v>
      </c>
      <c r="AF2">
        <v>2</v>
      </c>
      <c r="AG2">
        <v>2</v>
      </c>
      <c r="AH2">
        <v>14</v>
      </c>
      <c r="AI2" s="1">
        <v>4</v>
      </c>
    </row>
    <row r="3" spans="1:35">
      <c r="A3" s="9">
        <v>1614122</v>
      </c>
      <c r="B3">
        <v>3</v>
      </c>
      <c r="C3">
        <v>1</v>
      </c>
      <c r="D3">
        <v>10</v>
      </c>
      <c r="E3">
        <v>1410</v>
      </c>
      <c r="F3">
        <v>1970</v>
      </c>
      <c r="G3">
        <v>30</v>
      </c>
      <c r="H3">
        <v>55.699170000000002</v>
      </c>
      <c r="I3">
        <v>45000000</v>
      </c>
      <c r="J3">
        <v>40000000</v>
      </c>
      <c r="K3">
        <v>70</v>
      </c>
      <c r="L3">
        <v>6</v>
      </c>
      <c r="M3">
        <v>5</v>
      </c>
      <c r="N3">
        <v>7200000</v>
      </c>
      <c r="O3">
        <v>6000000</v>
      </c>
      <c r="P3">
        <v>30000000</v>
      </c>
      <c r="Q3">
        <v>0</v>
      </c>
      <c r="S3">
        <v>2</v>
      </c>
      <c r="T3">
        <v>2</v>
      </c>
      <c r="U3">
        <v>100</v>
      </c>
      <c r="V3">
        <v>0</v>
      </c>
      <c r="W3">
        <v>0</v>
      </c>
      <c r="X3">
        <v>2</v>
      </c>
      <c r="Z3">
        <v>2</v>
      </c>
      <c r="AA3">
        <v>2</v>
      </c>
      <c r="AB3">
        <v>1</v>
      </c>
      <c r="AC3">
        <v>2</v>
      </c>
      <c r="AD3">
        <v>4</v>
      </c>
      <c r="AE3">
        <v>2</v>
      </c>
      <c r="AF3">
        <v>0</v>
      </c>
      <c r="AG3">
        <v>0</v>
      </c>
      <c r="AH3">
        <v>8</v>
      </c>
      <c r="AI3" s="1">
        <v>1</v>
      </c>
    </row>
    <row r="4" spans="1:35">
      <c r="A4" s="9">
        <v>1614124</v>
      </c>
      <c r="B4">
        <v>1</v>
      </c>
      <c r="C4">
        <v>2</v>
      </c>
      <c r="D4">
        <v>100</v>
      </c>
      <c r="E4">
        <v>1073</v>
      </c>
      <c r="F4">
        <v>2007</v>
      </c>
      <c r="G4">
        <v>20</v>
      </c>
      <c r="H4">
        <v>24.842424000000001</v>
      </c>
      <c r="I4">
        <v>3000000000</v>
      </c>
      <c r="J4">
        <v>2000000000</v>
      </c>
      <c r="K4">
        <v>70</v>
      </c>
      <c r="L4">
        <v>50</v>
      </c>
      <c r="M4">
        <v>50</v>
      </c>
      <c r="N4">
        <v>700000000</v>
      </c>
      <c r="O4">
        <v>400000000</v>
      </c>
      <c r="P4">
        <v>5000000000</v>
      </c>
      <c r="Q4">
        <v>0</v>
      </c>
      <c r="R4">
        <v>1</v>
      </c>
      <c r="S4">
        <v>2</v>
      </c>
      <c r="T4">
        <v>2</v>
      </c>
      <c r="U4">
        <v>80</v>
      </c>
      <c r="V4">
        <v>0</v>
      </c>
      <c r="W4">
        <v>0</v>
      </c>
      <c r="X4">
        <v>2</v>
      </c>
      <c r="Z4">
        <v>2</v>
      </c>
      <c r="AA4">
        <v>2</v>
      </c>
      <c r="AB4">
        <v>2</v>
      </c>
      <c r="AD4">
        <v>2</v>
      </c>
      <c r="AE4">
        <v>1</v>
      </c>
      <c r="AF4">
        <v>1</v>
      </c>
      <c r="AG4">
        <v>2</v>
      </c>
      <c r="AH4">
        <v>4</v>
      </c>
      <c r="AI4" s="1">
        <v>1</v>
      </c>
    </row>
    <row r="5" spans="1:35">
      <c r="A5" s="9">
        <v>1614125</v>
      </c>
      <c r="B5">
        <v>1</v>
      </c>
      <c r="C5">
        <v>3</v>
      </c>
      <c r="D5">
        <v>110</v>
      </c>
      <c r="E5">
        <v>2100</v>
      </c>
      <c r="F5">
        <v>1981</v>
      </c>
      <c r="G5">
        <v>44</v>
      </c>
      <c r="H5">
        <v>1</v>
      </c>
      <c r="I5">
        <v>13000000000</v>
      </c>
      <c r="J5">
        <v>13000000000</v>
      </c>
      <c r="K5">
        <v>90</v>
      </c>
      <c r="L5">
        <v>57</v>
      </c>
      <c r="M5">
        <v>44</v>
      </c>
      <c r="N5">
        <v>1500000000</v>
      </c>
      <c r="O5">
        <v>6000000000</v>
      </c>
      <c r="P5">
        <v>12000000000</v>
      </c>
      <c r="Q5">
        <v>1</v>
      </c>
      <c r="R5">
        <v>1</v>
      </c>
      <c r="S5">
        <v>2</v>
      </c>
      <c r="T5">
        <v>2</v>
      </c>
      <c r="U5">
        <v>100</v>
      </c>
      <c r="V5">
        <v>0</v>
      </c>
      <c r="W5">
        <v>0</v>
      </c>
      <c r="X5">
        <v>1</v>
      </c>
      <c r="Y5">
        <v>600000000</v>
      </c>
      <c r="Z5">
        <v>1</v>
      </c>
      <c r="AA5">
        <v>2</v>
      </c>
      <c r="AB5">
        <v>1</v>
      </c>
      <c r="AC5">
        <v>10</v>
      </c>
      <c r="AD5">
        <v>3</v>
      </c>
      <c r="AE5">
        <v>1</v>
      </c>
      <c r="AF5">
        <v>3</v>
      </c>
      <c r="AG5">
        <v>3</v>
      </c>
      <c r="AH5">
        <v>1</v>
      </c>
      <c r="AI5" s="1">
        <v>1</v>
      </c>
    </row>
    <row r="6" spans="1:35">
      <c r="A6" s="9">
        <v>1614130</v>
      </c>
      <c r="B6">
        <v>1</v>
      </c>
      <c r="C6">
        <v>1</v>
      </c>
      <c r="D6">
        <v>7</v>
      </c>
      <c r="E6">
        <v>3100</v>
      </c>
      <c r="F6">
        <v>2020</v>
      </c>
      <c r="G6">
        <v>15</v>
      </c>
      <c r="H6">
        <v>143.61815000000001</v>
      </c>
      <c r="I6">
        <v>24000000</v>
      </c>
      <c r="J6">
        <v>17000000</v>
      </c>
      <c r="K6">
        <v>70</v>
      </c>
      <c r="L6">
        <v>5</v>
      </c>
      <c r="M6">
        <v>4</v>
      </c>
      <c r="N6">
        <v>4100000</v>
      </c>
      <c r="O6">
        <v>12000000</v>
      </c>
      <c r="P6">
        <v>11000000</v>
      </c>
      <c r="Q6">
        <v>0</v>
      </c>
      <c r="S6">
        <v>1</v>
      </c>
      <c r="T6">
        <v>1</v>
      </c>
      <c r="U6">
        <v>60</v>
      </c>
      <c r="V6">
        <v>10</v>
      </c>
      <c r="W6">
        <v>30</v>
      </c>
      <c r="X6">
        <v>1</v>
      </c>
      <c r="Y6">
        <v>500000</v>
      </c>
      <c r="Z6">
        <v>1</v>
      </c>
      <c r="AA6">
        <v>2</v>
      </c>
      <c r="AB6">
        <v>1</v>
      </c>
      <c r="AC6">
        <v>6</v>
      </c>
      <c r="AD6">
        <v>1</v>
      </c>
      <c r="AE6">
        <v>0</v>
      </c>
      <c r="AF6">
        <v>0</v>
      </c>
      <c r="AG6">
        <v>1</v>
      </c>
      <c r="AH6">
        <v>14</v>
      </c>
      <c r="AI6" s="1">
        <v>4</v>
      </c>
    </row>
    <row r="7" spans="1:35">
      <c r="A7" s="9">
        <v>1614131</v>
      </c>
      <c r="B7">
        <v>1</v>
      </c>
      <c r="C7">
        <v>1</v>
      </c>
      <c r="D7">
        <v>16</v>
      </c>
      <c r="E7">
        <v>1811</v>
      </c>
      <c r="F7">
        <v>1985</v>
      </c>
      <c r="G7">
        <v>30</v>
      </c>
      <c r="H7">
        <v>157.86735999999999</v>
      </c>
      <c r="I7">
        <v>100000000</v>
      </c>
      <c r="J7">
        <v>80000000</v>
      </c>
      <c r="K7">
        <v>20</v>
      </c>
      <c r="L7">
        <v>16</v>
      </c>
      <c r="M7">
        <v>16</v>
      </c>
      <c r="N7">
        <v>5000000</v>
      </c>
      <c r="O7">
        <v>20000000</v>
      </c>
      <c r="P7">
        <v>350000000</v>
      </c>
      <c r="Q7">
        <v>0</v>
      </c>
      <c r="S7">
        <v>2</v>
      </c>
      <c r="T7">
        <v>2</v>
      </c>
      <c r="U7">
        <v>80</v>
      </c>
      <c r="V7">
        <v>0</v>
      </c>
      <c r="W7">
        <v>0</v>
      </c>
      <c r="X7">
        <v>2</v>
      </c>
      <c r="Z7">
        <v>2</v>
      </c>
      <c r="AA7">
        <v>2</v>
      </c>
      <c r="AB7">
        <v>2</v>
      </c>
      <c r="AD7">
        <v>1</v>
      </c>
      <c r="AE7">
        <v>0</v>
      </c>
      <c r="AF7">
        <v>0</v>
      </c>
      <c r="AG7">
        <v>0</v>
      </c>
      <c r="AH7">
        <v>8</v>
      </c>
      <c r="AI7" s="1">
        <v>4</v>
      </c>
    </row>
    <row r="8" spans="1:35">
      <c r="A8" s="9">
        <v>1614136</v>
      </c>
      <c r="B8">
        <v>1</v>
      </c>
      <c r="C8">
        <v>3</v>
      </c>
      <c r="D8">
        <v>1850</v>
      </c>
      <c r="E8">
        <v>2410</v>
      </c>
      <c r="F8">
        <v>1983</v>
      </c>
      <c r="G8">
        <v>42</v>
      </c>
      <c r="H8">
        <v>1</v>
      </c>
      <c r="I8">
        <v>6000000000000</v>
      </c>
      <c r="J8">
        <v>4000000000000</v>
      </c>
      <c r="K8">
        <v>92</v>
      </c>
      <c r="L8">
        <v>2000</v>
      </c>
      <c r="M8">
        <v>1800</v>
      </c>
      <c r="N8">
        <v>1000000000000</v>
      </c>
      <c r="O8">
        <v>3000000000000</v>
      </c>
      <c r="P8">
        <v>1000000000000</v>
      </c>
      <c r="Q8">
        <v>35</v>
      </c>
      <c r="R8">
        <v>1</v>
      </c>
      <c r="S8">
        <v>1</v>
      </c>
      <c r="T8">
        <v>1</v>
      </c>
      <c r="U8">
        <v>35</v>
      </c>
      <c r="V8">
        <v>30</v>
      </c>
      <c r="W8">
        <v>25</v>
      </c>
      <c r="X8">
        <v>1</v>
      </c>
      <c r="Y8">
        <v>1000000000000</v>
      </c>
      <c r="Z8">
        <v>1</v>
      </c>
      <c r="AA8">
        <v>1</v>
      </c>
      <c r="AB8">
        <v>1</v>
      </c>
      <c r="AC8">
        <v>2</v>
      </c>
      <c r="AD8">
        <v>2</v>
      </c>
      <c r="AE8">
        <v>2</v>
      </c>
      <c r="AF8">
        <v>1</v>
      </c>
      <c r="AG8">
        <v>2</v>
      </c>
      <c r="AH8">
        <v>14</v>
      </c>
      <c r="AI8" s="1">
        <v>1</v>
      </c>
    </row>
    <row r="9" spans="1:35">
      <c r="A9" s="9">
        <v>1614138</v>
      </c>
      <c r="B9">
        <v>3</v>
      </c>
      <c r="C9">
        <v>1</v>
      </c>
      <c r="D9">
        <v>9</v>
      </c>
      <c r="E9">
        <v>1079</v>
      </c>
      <c r="F9">
        <v>1992</v>
      </c>
      <c r="G9">
        <v>30</v>
      </c>
      <c r="H9">
        <v>1.7886078000000001</v>
      </c>
      <c r="I9">
        <v>38000000</v>
      </c>
      <c r="J9">
        <v>6000000</v>
      </c>
      <c r="K9">
        <v>100</v>
      </c>
      <c r="L9">
        <v>9</v>
      </c>
      <c r="M9">
        <v>9</v>
      </c>
      <c r="N9">
        <v>10000000</v>
      </c>
      <c r="O9">
        <v>-9</v>
      </c>
      <c r="P9">
        <v>15000000</v>
      </c>
      <c r="Q9">
        <v>0</v>
      </c>
      <c r="S9">
        <v>2</v>
      </c>
      <c r="T9">
        <v>2</v>
      </c>
      <c r="U9">
        <v>40</v>
      </c>
      <c r="V9">
        <v>0</v>
      </c>
      <c r="W9">
        <v>0</v>
      </c>
      <c r="X9">
        <v>2</v>
      </c>
      <c r="Z9">
        <v>2</v>
      </c>
      <c r="AA9">
        <v>2</v>
      </c>
      <c r="AB9">
        <v>1</v>
      </c>
      <c r="AC9">
        <v>8</v>
      </c>
      <c r="AD9">
        <v>4</v>
      </c>
      <c r="AE9">
        <v>2</v>
      </c>
      <c r="AF9">
        <v>0</v>
      </c>
      <c r="AG9">
        <v>4</v>
      </c>
      <c r="AH9">
        <v>1</v>
      </c>
      <c r="AI9" s="1">
        <v>4</v>
      </c>
    </row>
    <row r="10" spans="1:35">
      <c r="A10" s="9">
        <v>1614139</v>
      </c>
      <c r="B10">
        <v>2</v>
      </c>
      <c r="C10">
        <v>1</v>
      </c>
      <c r="D10">
        <v>5</v>
      </c>
      <c r="E10">
        <v>3100</v>
      </c>
      <c r="F10">
        <v>2002</v>
      </c>
      <c r="G10">
        <v>24</v>
      </c>
      <c r="H10">
        <v>68.626059999999995</v>
      </c>
      <c r="I10">
        <v>40000000</v>
      </c>
      <c r="J10">
        <v>22000000</v>
      </c>
      <c r="K10">
        <v>4</v>
      </c>
      <c r="L10">
        <v>5</v>
      </c>
      <c r="M10">
        <v>5</v>
      </c>
      <c r="N10">
        <v>12000000</v>
      </c>
      <c r="O10">
        <v>16000000</v>
      </c>
      <c r="P10">
        <v>24200000</v>
      </c>
      <c r="Q10">
        <v>0</v>
      </c>
      <c r="S10">
        <v>2</v>
      </c>
      <c r="T10">
        <v>2</v>
      </c>
      <c r="U10">
        <v>20</v>
      </c>
      <c r="V10">
        <v>60</v>
      </c>
      <c r="W10">
        <v>0</v>
      </c>
      <c r="X10">
        <v>1</v>
      </c>
      <c r="Y10">
        <v>1000000</v>
      </c>
      <c r="Z10">
        <v>1</v>
      </c>
      <c r="AA10">
        <v>2</v>
      </c>
      <c r="AB10">
        <v>1</v>
      </c>
      <c r="AC10">
        <v>5</v>
      </c>
      <c r="AD10">
        <v>3</v>
      </c>
      <c r="AE10">
        <v>4</v>
      </c>
      <c r="AF10">
        <v>0</v>
      </c>
      <c r="AG10">
        <v>1</v>
      </c>
      <c r="AH10">
        <v>1</v>
      </c>
      <c r="AI10" s="1">
        <v>2</v>
      </c>
    </row>
    <row r="11" spans="1:35">
      <c r="A11" s="9">
        <v>1614143</v>
      </c>
      <c r="B11">
        <v>1</v>
      </c>
      <c r="C11">
        <v>1</v>
      </c>
      <c r="D11">
        <v>6</v>
      </c>
      <c r="E11">
        <v>2599</v>
      </c>
      <c r="F11">
        <v>1987</v>
      </c>
      <c r="G11">
        <v>35</v>
      </c>
      <c r="H11">
        <v>157.86735999999999</v>
      </c>
      <c r="I11">
        <v>10000000</v>
      </c>
      <c r="J11">
        <v>10000000</v>
      </c>
      <c r="K11">
        <v>100</v>
      </c>
      <c r="L11">
        <v>6</v>
      </c>
      <c r="M11">
        <v>6</v>
      </c>
      <c r="N11">
        <v>6000000</v>
      </c>
      <c r="O11">
        <v>3000000</v>
      </c>
      <c r="P11">
        <v>7000000</v>
      </c>
      <c r="Q11">
        <v>0</v>
      </c>
      <c r="S11">
        <v>2</v>
      </c>
      <c r="T11">
        <v>2</v>
      </c>
      <c r="U11">
        <v>80</v>
      </c>
      <c r="V11">
        <v>10</v>
      </c>
      <c r="W11">
        <v>0</v>
      </c>
      <c r="X11">
        <v>2</v>
      </c>
      <c r="Z11">
        <v>2</v>
      </c>
      <c r="AA11">
        <v>1</v>
      </c>
      <c r="AB11">
        <v>1</v>
      </c>
      <c r="AC11">
        <v>2</v>
      </c>
      <c r="AD11">
        <v>1</v>
      </c>
      <c r="AE11">
        <v>3</v>
      </c>
      <c r="AF11">
        <v>0</v>
      </c>
      <c r="AG11">
        <v>1</v>
      </c>
      <c r="AH11">
        <v>1</v>
      </c>
      <c r="AI11" s="1">
        <v>4</v>
      </c>
    </row>
    <row r="12" spans="1:35">
      <c r="A12" s="9">
        <v>1614144</v>
      </c>
      <c r="B12">
        <v>1</v>
      </c>
      <c r="C12">
        <v>1</v>
      </c>
      <c r="D12">
        <v>50</v>
      </c>
      <c r="E12">
        <v>1812</v>
      </c>
      <c r="F12">
        <v>1995</v>
      </c>
      <c r="G12">
        <v>17</v>
      </c>
      <c r="H12">
        <v>585.95529999999997</v>
      </c>
      <c r="I12">
        <v>300000000</v>
      </c>
      <c r="J12">
        <v>110000000</v>
      </c>
      <c r="K12">
        <v>95</v>
      </c>
      <c r="L12">
        <v>40</v>
      </c>
      <c r="M12">
        <v>20</v>
      </c>
      <c r="N12">
        <v>30000000</v>
      </c>
      <c r="O12">
        <v>40000000</v>
      </c>
      <c r="P12">
        <v>1000000000</v>
      </c>
      <c r="Q12">
        <v>10</v>
      </c>
      <c r="R12">
        <v>1</v>
      </c>
      <c r="S12">
        <v>2</v>
      </c>
      <c r="T12">
        <v>1</v>
      </c>
      <c r="U12">
        <v>80</v>
      </c>
      <c r="V12">
        <v>10</v>
      </c>
      <c r="W12">
        <v>0</v>
      </c>
      <c r="X12">
        <v>1</v>
      </c>
      <c r="Y12">
        <v>300000000</v>
      </c>
      <c r="Z12">
        <v>1</v>
      </c>
      <c r="AA12">
        <v>2</v>
      </c>
      <c r="AB12">
        <v>1</v>
      </c>
      <c r="AC12">
        <v>6</v>
      </c>
      <c r="AD12">
        <v>1</v>
      </c>
      <c r="AE12">
        <v>0</v>
      </c>
      <c r="AF12">
        <v>0</v>
      </c>
      <c r="AG12">
        <v>1</v>
      </c>
      <c r="AH12">
        <v>7</v>
      </c>
      <c r="AI12" s="1">
        <v>2</v>
      </c>
    </row>
    <row r="13" spans="1:35">
      <c r="A13" s="9">
        <v>1614146</v>
      </c>
      <c r="B13">
        <v>1</v>
      </c>
      <c r="C13">
        <v>1</v>
      </c>
      <c r="D13">
        <v>80</v>
      </c>
      <c r="E13">
        <v>2023</v>
      </c>
      <c r="F13">
        <v>2005</v>
      </c>
      <c r="G13">
        <v>20</v>
      </c>
      <c r="H13">
        <v>585.95529999999997</v>
      </c>
      <c r="I13">
        <v>2000000000</v>
      </c>
      <c r="J13">
        <v>1000000000</v>
      </c>
      <c r="K13">
        <v>70</v>
      </c>
      <c r="L13">
        <v>80</v>
      </c>
      <c r="M13">
        <v>40</v>
      </c>
      <c r="N13">
        <v>200000000</v>
      </c>
      <c r="O13">
        <v>800000000</v>
      </c>
      <c r="P13">
        <v>700000000</v>
      </c>
      <c r="Q13">
        <v>30</v>
      </c>
      <c r="R13">
        <v>1</v>
      </c>
      <c r="S13">
        <v>1</v>
      </c>
      <c r="T13">
        <v>1</v>
      </c>
      <c r="U13">
        <v>40</v>
      </c>
      <c r="V13">
        <v>5</v>
      </c>
      <c r="W13">
        <v>0</v>
      </c>
      <c r="X13">
        <v>1</v>
      </c>
      <c r="Y13">
        <v>80000000</v>
      </c>
      <c r="Z13">
        <v>1</v>
      </c>
      <c r="AA13">
        <v>2</v>
      </c>
      <c r="AB13">
        <v>1</v>
      </c>
      <c r="AC13">
        <v>4</v>
      </c>
      <c r="AD13">
        <v>3</v>
      </c>
      <c r="AE13">
        <v>0</v>
      </c>
      <c r="AF13">
        <v>0</v>
      </c>
      <c r="AG13">
        <v>0</v>
      </c>
      <c r="AH13">
        <v>14</v>
      </c>
      <c r="AI13" s="1">
        <v>4</v>
      </c>
    </row>
    <row r="14" spans="1:35">
      <c r="A14" s="9">
        <v>1614147</v>
      </c>
      <c r="B14">
        <v>3</v>
      </c>
      <c r="C14">
        <v>3</v>
      </c>
      <c r="D14">
        <v>100</v>
      </c>
      <c r="E14">
        <v>1079</v>
      </c>
      <c r="F14">
        <v>1982</v>
      </c>
      <c r="G14">
        <v>43</v>
      </c>
      <c r="H14">
        <v>1</v>
      </c>
      <c r="I14">
        <v>3000000000</v>
      </c>
      <c r="J14">
        <v>2500000000</v>
      </c>
      <c r="K14">
        <v>30</v>
      </c>
      <c r="L14">
        <v>35</v>
      </c>
      <c r="M14">
        <v>35</v>
      </c>
      <c r="N14">
        <v>300000000</v>
      </c>
      <c r="O14">
        <v>900000000</v>
      </c>
      <c r="P14">
        <v>600000000</v>
      </c>
      <c r="Q14">
        <v>10</v>
      </c>
      <c r="R14">
        <v>1</v>
      </c>
      <c r="S14">
        <v>2</v>
      </c>
      <c r="T14">
        <v>1</v>
      </c>
      <c r="U14">
        <v>100</v>
      </c>
      <c r="V14">
        <v>0</v>
      </c>
      <c r="W14">
        <v>0</v>
      </c>
      <c r="X14">
        <v>2</v>
      </c>
      <c r="Z14">
        <v>2</v>
      </c>
      <c r="AA14">
        <v>2</v>
      </c>
      <c r="AB14">
        <v>1</v>
      </c>
      <c r="AC14">
        <v>5</v>
      </c>
      <c r="AD14">
        <v>3</v>
      </c>
      <c r="AE14">
        <v>1</v>
      </c>
      <c r="AF14">
        <v>2</v>
      </c>
      <c r="AG14">
        <v>4</v>
      </c>
      <c r="AH14">
        <v>12</v>
      </c>
      <c r="AI14" s="1">
        <v>4</v>
      </c>
    </row>
    <row r="15" spans="1:35">
      <c r="A15" s="9">
        <v>1614149</v>
      </c>
      <c r="B15">
        <v>4</v>
      </c>
      <c r="C15">
        <v>2</v>
      </c>
      <c r="D15">
        <v>10</v>
      </c>
      <c r="E15">
        <v>1040</v>
      </c>
      <c r="F15">
        <v>2013</v>
      </c>
      <c r="G15">
        <v>10</v>
      </c>
      <c r="H15">
        <v>1.8265389999999999</v>
      </c>
      <c r="I15">
        <v>300000000</v>
      </c>
      <c r="J15">
        <v>250000000</v>
      </c>
      <c r="K15">
        <v>100</v>
      </c>
      <c r="L15">
        <v>15</v>
      </c>
      <c r="M15">
        <v>10</v>
      </c>
      <c r="N15">
        <v>70000000</v>
      </c>
      <c r="O15">
        <v>100000000</v>
      </c>
      <c r="P15">
        <v>400000000</v>
      </c>
      <c r="Q15">
        <v>0</v>
      </c>
      <c r="S15">
        <v>2</v>
      </c>
      <c r="T15">
        <v>2</v>
      </c>
      <c r="U15">
        <v>40</v>
      </c>
      <c r="V15">
        <v>0</v>
      </c>
      <c r="W15">
        <v>40</v>
      </c>
      <c r="X15">
        <v>2</v>
      </c>
      <c r="Z15">
        <v>2</v>
      </c>
      <c r="AA15">
        <v>2</v>
      </c>
      <c r="AB15">
        <v>1</v>
      </c>
      <c r="AC15">
        <v>7</v>
      </c>
      <c r="AD15">
        <v>2</v>
      </c>
      <c r="AE15">
        <v>1</v>
      </c>
      <c r="AF15">
        <v>0</v>
      </c>
      <c r="AG15">
        <v>4</v>
      </c>
      <c r="AH15">
        <v>12</v>
      </c>
      <c r="AI15" s="1">
        <v>4</v>
      </c>
    </row>
    <row r="16" spans="1:35">
      <c r="A16" s="9">
        <v>1614151</v>
      </c>
      <c r="B16">
        <v>1</v>
      </c>
      <c r="C16">
        <v>3</v>
      </c>
      <c r="D16">
        <v>355</v>
      </c>
      <c r="E16">
        <v>1079</v>
      </c>
      <c r="F16">
        <v>1994</v>
      </c>
      <c r="G16">
        <v>25</v>
      </c>
      <c r="H16">
        <v>1</v>
      </c>
      <c r="I16">
        <v>68000000000</v>
      </c>
      <c r="J16">
        <v>67000000000</v>
      </c>
      <c r="K16">
        <v>69</v>
      </c>
      <c r="L16">
        <v>124</v>
      </c>
      <c r="M16">
        <v>118</v>
      </c>
      <c r="N16">
        <v>4140000000</v>
      </c>
      <c r="O16">
        <v>37820000000</v>
      </c>
      <c r="P16">
        <v>95000000000</v>
      </c>
      <c r="Q16">
        <v>1</v>
      </c>
      <c r="R16">
        <v>1</v>
      </c>
      <c r="S16">
        <v>1</v>
      </c>
      <c r="T16">
        <v>2</v>
      </c>
      <c r="U16">
        <v>100</v>
      </c>
      <c r="V16">
        <v>0</v>
      </c>
      <c r="W16">
        <v>0</v>
      </c>
      <c r="X16">
        <v>2</v>
      </c>
      <c r="Z16">
        <v>2</v>
      </c>
      <c r="AA16">
        <v>2</v>
      </c>
      <c r="AB16">
        <v>1</v>
      </c>
      <c r="AC16">
        <v>10</v>
      </c>
      <c r="AD16">
        <v>4</v>
      </c>
      <c r="AE16">
        <v>1</v>
      </c>
      <c r="AF16">
        <v>1</v>
      </c>
      <c r="AG16">
        <v>4</v>
      </c>
      <c r="AH16">
        <v>8</v>
      </c>
      <c r="AI16" s="1">
        <v>4</v>
      </c>
    </row>
    <row r="17" spans="1:35">
      <c r="A17" s="9">
        <v>1614153</v>
      </c>
      <c r="B17">
        <v>3</v>
      </c>
      <c r="C17">
        <v>2</v>
      </c>
      <c r="D17">
        <v>8</v>
      </c>
      <c r="E17">
        <v>3100</v>
      </c>
      <c r="F17">
        <v>2021</v>
      </c>
      <c r="G17">
        <v>5</v>
      </c>
      <c r="H17">
        <v>3.0692382</v>
      </c>
      <c r="I17">
        <v>60000000</v>
      </c>
      <c r="J17">
        <v>30000000</v>
      </c>
      <c r="K17">
        <v>70</v>
      </c>
      <c r="L17">
        <v>8</v>
      </c>
      <c r="M17">
        <v>8</v>
      </c>
      <c r="N17">
        <v>20000000</v>
      </c>
      <c r="O17">
        <v>35000000</v>
      </c>
      <c r="P17">
        <v>-9</v>
      </c>
      <c r="Q17">
        <v>0</v>
      </c>
      <c r="S17">
        <v>2</v>
      </c>
      <c r="T17">
        <v>2</v>
      </c>
      <c r="U17">
        <v>30</v>
      </c>
      <c r="V17">
        <v>25</v>
      </c>
      <c r="W17">
        <v>20</v>
      </c>
      <c r="X17">
        <v>2</v>
      </c>
      <c r="Z17">
        <v>1</v>
      </c>
      <c r="AA17">
        <v>2</v>
      </c>
      <c r="AB17">
        <v>1</v>
      </c>
      <c r="AC17">
        <v>6</v>
      </c>
      <c r="AD17">
        <v>1</v>
      </c>
      <c r="AE17">
        <v>3</v>
      </c>
      <c r="AF17">
        <v>0</v>
      </c>
      <c r="AG17">
        <v>3</v>
      </c>
      <c r="AH17">
        <v>14</v>
      </c>
      <c r="AI17" s="1">
        <v>1</v>
      </c>
    </row>
    <row r="18" spans="1:35">
      <c r="A18" s="9">
        <v>1614155</v>
      </c>
      <c r="B18">
        <v>2</v>
      </c>
      <c r="C18">
        <v>2</v>
      </c>
      <c r="D18">
        <v>16</v>
      </c>
      <c r="E18">
        <v>1410</v>
      </c>
      <c r="F18">
        <v>1990</v>
      </c>
      <c r="G18">
        <v>35</v>
      </c>
      <c r="H18">
        <v>2.4641058</v>
      </c>
      <c r="I18">
        <v>57242000</v>
      </c>
      <c r="J18">
        <v>35000000</v>
      </c>
      <c r="K18">
        <v>13</v>
      </c>
      <c r="L18">
        <v>6</v>
      </c>
      <c r="M18">
        <v>6</v>
      </c>
      <c r="N18">
        <v>18000000</v>
      </c>
      <c r="O18">
        <v>22500000</v>
      </c>
      <c r="P18">
        <v>26500000</v>
      </c>
      <c r="Q18">
        <v>0</v>
      </c>
      <c r="S18">
        <v>2</v>
      </c>
      <c r="T18">
        <v>2</v>
      </c>
      <c r="U18">
        <v>50</v>
      </c>
      <c r="V18">
        <v>10</v>
      </c>
      <c r="W18">
        <v>10</v>
      </c>
      <c r="X18">
        <v>2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3</v>
      </c>
      <c r="AF18">
        <v>0</v>
      </c>
      <c r="AG18">
        <v>1</v>
      </c>
      <c r="AH18">
        <v>1</v>
      </c>
      <c r="AI18" s="1">
        <v>4</v>
      </c>
    </row>
    <row r="19" spans="1:35">
      <c r="A19" s="9">
        <v>1614157</v>
      </c>
      <c r="B19">
        <v>3</v>
      </c>
      <c r="C19">
        <v>1</v>
      </c>
      <c r="D19">
        <v>7</v>
      </c>
      <c r="E19">
        <v>1061</v>
      </c>
      <c r="F19">
        <v>2015</v>
      </c>
      <c r="G19">
        <v>10</v>
      </c>
      <c r="H19">
        <v>26.253841000000001</v>
      </c>
      <c r="I19">
        <v>32000000</v>
      </c>
      <c r="J19">
        <v>28000000</v>
      </c>
      <c r="K19">
        <v>65</v>
      </c>
      <c r="L19">
        <v>7</v>
      </c>
      <c r="M19">
        <v>7</v>
      </c>
      <c r="N19">
        <v>12000000</v>
      </c>
      <c r="O19">
        <v>18000000</v>
      </c>
      <c r="P19">
        <v>20000000</v>
      </c>
      <c r="Q19">
        <v>0</v>
      </c>
      <c r="S19">
        <v>2</v>
      </c>
      <c r="T19">
        <v>2</v>
      </c>
      <c r="U19">
        <v>80</v>
      </c>
      <c r="V19">
        <v>0</v>
      </c>
      <c r="W19">
        <v>0</v>
      </c>
      <c r="X19">
        <v>2</v>
      </c>
      <c r="Z19">
        <v>2</v>
      </c>
      <c r="AA19">
        <v>2</v>
      </c>
      <c r="AB19">
        <v>1</v>
      </c>
      <c r="AC19">
        <v>8</v>
      </c>
      <c r="AD19">
        <v>2</v>
      </c>
      <c r="AE19">
        <v>3</v>
      </c>
      <c r="AF19">
        <v>0</v>
      </c>
      <c r="AG19">
        <v>3</v>
      </c>
      <c r="AH19">
        <v>14</v>
      </c>
      <c r="AI19" s="1">
        <v>2</v>
      </c>
    </row>
    <row r="20" spans="1:35">
      <c r="A20" s="9">
        <v>1614160</v>
      </c>
      <c r="B20">
        <v>2</v>
      </c>
      <c r="C20">
        <v>1</v>
      </c>
      <c r="D20">
        <v>16</v>
      </c>
      <c r="E20">
        <v>3100</v>
      </c>
      <c r="F20">
        <v>2009</v>
      </c>
      <c r="G20">
        <v>20</v>
      </c>
      <c r="H20">
        <v>68.626059999999995</v>
      </c>
      <c r="I20">
        <v>45000000</v>
      </c>
      <c r="J20">
        <v>18000000</v>
      </c>
      <c r="K20">
        <v>60</v>
      </c>
      <c r="L20">
        <v>12</v>
      </c>
      <c r="M20">
        <v>8</v>
      </c>
      <c r="N20">
        <v>-9</v>
      </c>
      <c r="O20">
        <v>30000000</v>
      </c>
      <c r="P20">
        <v>50000000</v>
      </c>
      <c r="Q20">
        <v>0</v>
      </c>
      <c r="S20">
        <v>2</v>
      </c>
      <c r="T20">
        <v>1</v>
      </c>
      <c r="U20">
        <v>50</v>
      </c>
      <c r="V20">
        <v>25</v>
      </c>
      <c r="W20">
        <v>0</v>
      </c>
      <c r="X20">
        <v>2</v>
      </c>
      <c r="Z20">
        <v>1</v>
      </c>
      <c r="AA20">
        <v>1</v>
      </c>
      <c r="AB20">
        <v>1</v>
      </c>
      <c r="AC20">
        <v>30</v>
      </c>
      <c r="AD20">
        <v>3</v>
      </c>
      <c r="AE20">
        <v>2</v>
      </c>
      <c r="AF20">
        <v>1</v>
      </c>
      <c r="AG20">
        <v>3</v>
      </c>
      <c r="AH20">
        <v>8</v>
      </c>
      <c r="AI20" s="1">
        <v>2</v>
      </c>
    </row>
    <row r="21" spans="1:35">
      <c r="A21" s="9">
        <v>1614161</v>
      </c>
      <c r="B21">
        <v>3</v>
      </c>
      <c r="C21">
        <v>1</v>
      </c>
      <c r="D21">
        <v>7</v>
      </c>
      <c r="E21">
        <v>1061</v>
      </c>
      <c r="F21">
        <v>2000</v>
      </c>
      <c r="G21">
        <v>25</v>
      </c>
      <c r="H21">
        <v>118.824974</v>
      </c>
      <c r="I21">
        <v>154000000</v>
      </c>
      <c r="J21">
        <v>144000000</v>
      </c>
      <c r="K21">
        <v>100</v>
      </c>
      <c r="L21">
        <v>7</v>
      </c>
      <c r="M21">
        <v>7</v>
      </c>
      <c r="N21">
        <v>21600000</v>
      </c>
      <c r="O21">
        <v>35000000</v>
      </c>
      <c r="P21">
        <v>300000000</v>
      </c>
      <c r="Q21">
        <v>0</v>
      </c>
      <c r="S21">
        <v>2</v>
      </c>
      <c r="T21">
        <v>2</v>
      </c>
      <c r="U21">
        <v>70</v>
      </c>
      <c r="V21">
        <v>0</v>
      </c>
      <c r="W21">
        <v>0</v>
      </c>
      <c r="X21">
        <v>2</v>
      </c>
      <c r="Z21">
        <v>2</v>
      </c>
      <c r="AA21">
        <v>2</v>
      </c>
      <c r="AB21">
        <v>1</v>
      </c>
      <c r="AC21">
        <v>1</v>
      </c>
      <c r="AD21">
        <v>2</v>
      </c>
      <c r="AE21">
        <v>4</v>
      </c>
      <c r="AF21">
        <v>0</v>
      </c>
      <c r="AG21">
        <v>3</v>
      </c>
      <c r="AH21">
        <v>8</v>
      </c>
      <c r="AI21" s="1">
        <v>1</v>
      </c>
    </row>
    <row r="22" spans="1:35">
      <c r="A22" s="9">
        <v>1614163</v>
      </c>
      <c r="B22">
        <v>4</v>
      </c>
      <c r="C22">
        <v>1</v>
      </c>
      <c r="D22">
        <v>30</v>
      </c>
      <c r="E22">
        <v>1040</v>
      </c>
      <c r="F22">
        <v>1994</v>
      </c>
      <c r="G22">
        <v>4</v>
      </c>
      <c r="H22">
        <v>1</v>
      </c>
      <c r="I22">
        <v>2165000000</v>
      </c>
      <c r="J22">
        <v>1800000000</v>
      </c>
      <c r="K22">
        <v>100</v>
      </c>
      <c r="L22">
        <v>15</v>
      </c>
      <c r="M22">
        <v>10</v>
      </c>
      <c r="N22">
        <v>720000000</v>
      </c>
      <c r="O22">
        <v>900000000</v>
      </c>
      <c r="P22">
        <v>10000000000</v>
      </c>
      <c r="Q22">
        <v>0</v>
      </c>
      <c r="R22">
        <v>1</v>
      </c>
      <c r="S22">
        <v>1</v>
      </c>
      <c r="T22">
        <v>2</v>
      </c>
      <c r="U22">
        <v>0</v>
      </c>
      <c r="V22">
        <v>0</v>
      </c>
      <c r="W22">
        <v>30</v>
      </c>
      <c r="X22">
        <v>1</v>
      </c>
      <c r="Y22">
        <v>100000000</v>
      </c>
      <c r="Z22">
        <v>2</v>
      </c>
      <c r="AA22">
        <v>2</v>
      </c>
      <c r="AB22">
        <v>1</v>
      </c>
      <c r="AC22">
        <v>3</v>
      </c>
      <c r="AD22">
        <v>1</v>
      </c>
      <c r="AE22">
        <v>0</v>
      </c>
      <c r="AF22">
        <v>0</v>
      </c>
      <c r="AG22">
        <v>3</v>
      </c>
      <c r="AH22">
        <v>2</v>
      </c>
      <c r="AI22" s="1">
        <v>1</v>
      </c>
    </row>
    <row r="23" spans="1:35">
      <c r="A23" s="9">
        <v>1614165</v>
      </c>
      <c r="B23">
        <v>3</v>
      </c>
      <c r="C23">
        <v>2</v>
      </c>
      <c r="D23">
        <v>13</v>
      </c>
      <c r="E23">
        <v>1061</v>
      </c>
      <c r="F23">
        <v>2006</v>
      </c>
      <c r="G23">
        <v>22</v>
      </c>
      <c r="H23">
        <v>2.7846396000000002</v>
      </c>
      <c r="I23">
        <v>600000000</v>
      </c>
      <c r="J23">
        <v>400000000</v>
      </c>
      <c r="K23">
        <v>90</v>
      </c>
      <c r="L23">
        <v>7</v>
      </c>
      <c r="M23">
        <v>8</v>
      </c>
      <c r="N23">
        <v>62400000</v>
      </c>
      <c r="O23">
        <v>40000000</v>
      </c>
      <c r="P23">
        <v>90000000</v>
      </c>
      <c r="Q23">
        <v>0</v>
      </c>
      <c r="S23">
        <v>1</v>
      </c>
      <c r="T23">
        <v>2</v>
      </c>
      <c r="U23">
        <v>100</v>
      </c>
      <c r="V23">
        <v>0</v>
      </c>
      <c r="W23">
        <v>0</v>
      </c>
      <c r="X23">
        <v>2</v>
      </c>
      <c r="Z23">
        <v>2</v>
      </c>
      <c r="AA23">
        <v>1</v>
      </c>
      <c r="AB23">
        <v>1</v>
      </c>
      <c r="AC23">
        <v>3</v>
      </c>
      <c r="AD23">
        <v>3</v>
      </c>
      <c r="AE23">
        <v>3</v>
      </c>
      <c r="AF23">
        <v>1</v>
      </c>
      <c r="AG23">
        <v>2</v>
      </c>
      <c r="AH23">
        <v>12</v>
      </c>
      <c r="AI23" s="1">
        <v>1</v>
      </c>
    </row>
    <row r="24" spans="1:35">
      <c r="A24" s="9">
        <v>1614170</v>
      </c>
      <c r="B24">
        <v>1</v>
      </c>
      <c r="C24">
        <v>1</v>
      </c>
      <c r="D24">
        <v>15</v>
      </c>
      <c r="E24">
        <v>2511</v>
      </c>
      <c r="F24">
        <v>2009</v>
      </c>
      <c r="G24">
        <v>22</v>
      </c>
      <c r="H24">
        <v>316.31959999999998</v>
      </c>
      <c r="I24">
        <v>800000000</v>
      </c>
      <c r="J24">
        <v>500000000</v>
      </c>
      <c r="K24">
        <v>90</v>
      </c>
      <c r="L24">
        <v>15</v>
      </c>
      <c r="M24">
        <v>7</v>
      </c>
      <c r="N24">
        <v>25000000</v>
      </c>
      <c r="O24">
        <v>-9</v>
      </c>
      <c r="P24">
        <v>-9</v>
      </c>
      <c r="Q24">
        <v>20</v>
      </c>
      <c r="S24">
        <v>1</v>
      </c>
      <c r="T24">
        <v>2</v>
      </c>
      <c r="U24">
        <v>60</v>
      </c>
      <c r="V24">
        <v>20</v>
      </c>
      <c r="W24">
        <v>0</v>
      </c>
      <c r="X24">
        <v>2</v>
      </c>
      <c r="Z24">
        <v>1</v>
      </c>
      <c r="AA24">
        <v>2</v>
      </c>
      <c r="AB24">
        <v>1</v>
      </c>
      <c r="AC24">
        <v>8</v>
      </c>
      <c r="AD24">
        <v>1</v>
      </c>
      <c r="AE24">
        <v>0</v>
      </c>
      <c r="AF24">
        <v>0</v>
      </c>
      <c r="AG24">
        <v>0</v>
      </c>
      <c r="AH24">
        <v>4</v>
      </c>
      <c r="AI24" s="1">
        <v>4</v>
      </c>
    </row>
    <row r="25" spans="1:35">
      <c r="A25" s="9">
        <v>1614171</v>
      </c>
      <c r="B25">
        <v>3</v>
      </c>
      <c r="C25">
        <v>1</v>
      </c>
      <c r="D25">
        <v>10</v>
      </c>
      <c r="E25">
        <v>2511</v>
      </c>
      <c r="F25">
        <v>2007</v>
      </c>
      <c r="G25">
        <v>20</v>
      </c>
      <c r="H25">
        <v>90.165229999999994</v>
      </c>
      <c r="I25">
        <v>70000000</v>
      </c>
      <c r="J25">
        <v>10000000</v>
      </c>
      <c r="K25">
        <v>70</v>
      </c>
      <c r="L25">
        <v>10</v>
      </c>
      <c r="M25">
        <v>3</v>
      </c>
      <c r="N25">
        <v>10000000</v>
      </c>
      <c r="O25">
        <v>30000000</v>
      </c>
      <c r="P25">
        <v>170000000</v>
      </c>
      <c r="Q25">
        <v>0</v>
      </c>
      <c r="S25">
        <v>2</v>
      </c>
      <c r="T25">
        <v>2</v>
      </c>
      <c r="U25">
        <v>90</v>
      </c>
      <c r="V25">
        <v>0</v>
      </c>
      <c r="W25">
        <v>0</v>
      </c>
      <c r="X25">
        <v>2</v>
      </c>
      <c r="Z25">
        <v>2</v>
      </c>
      <c r="AA25">
        <v>2</v>
      </c>
      <c r="AB25">
        <v>1</v>
      </c>
      <c r="AC25">
        <v>3</v>
      </c>
      <c r="AD25">
        <v>2</v>
      </c>
      <c r="AE25">
        <v>0</v>
      </c>
      <c r="AF25">
        <v>0</v>
      </c>
      <c r="AG25">
        <v>0</v>
      </c>
      <c r="AH25">
        <v>8</v>
      </c>
      <c r="AI25" s="1">
        <v>1</v>
      </c>
    </row>
    <row r="26" spans="1:35">
      <c r="A26" s="9">
        <v>1614174</v>
      </c>
      <c r="B26">
        <v>4</v>
      </c>
      <c r="C26">
        <v>1</v>
      </c>
      <c r="D26">
        <v>6</v>
      </c>
      <c r="E26">
        <v>1811</v>
      </c>
      <c r="F26">
        <v>1997</v>
      </c>
      <c r="G26">
        <v>30</v>
      </c>
      <c r="H26">
        <v>18.668731999999999</v>
      </c>
      <c r="I26">
        <v>15000000</v>
      </c>
      <c r="J26">
        <v>12000000</v>
      </c>
      <c r="K26">
        <v>100</v>
      </c>
      <c r="L26">
        <v>6</v>
      </c>
      <c r="M26">
        <v>6</v>
      </c>
      <c r="N26">
        <v>4000000</v>
      </c>
      <c r="O26">
        <v>5000000</v>
      </c>
      <c r="P26">
        <v>100000000</v>
      </c>
      <c r="Q26">
        <v>0</v>
      </c>
      <c r="S26">
        <v>2</v>
      </c>
      <c r="T26">
        <v>2</v>
      </c>
      <c r="U26">
        <v>50</v>
      </c>
      <c r="V26">
        <v>50</v>
      </c>
      <c r="W26">
        <v>0</v>
      </c>
      <c r="X26">
        <v>2</v>
      </c>
      <c r="Z26">
        <v>2</v>
      </c>
      <c r="AA26">
        <v>2</v>
      </c>
      <c r="AB26">
        <v>1</v>
      </c>
      <c r="AC26">
        <v>5</v>
      </c>
      <c r="AD26">
        <v>3</v>
      </c>
      <c r="AE26">
        <v>1</v>
      </c>
      <c r="AF26">
        <v>1</v>
      </c>
      <c r="AG26">
        <v>1</v>
      </c>
      <c r="AH26">
        <v>3</v>
      </c>
      <c r="AI26" s="1">
        <v>4</v>
      </c>
    </row>
    <row r="27" spans="1:35">
      <c r="A27" s="9">
        <v>1614175</v>
      </c>
      <c r="B27">
        <v>4</v>
      </c>
      <c r="C27">
        <v>1</v>
      </c>
      <c r="D27">
        <v>8</v>
      </c>
      <c r="E27">
        <v>1811</v>
      </c>
      <c r="F27">
        <v>2006</v>
      </c>
      <c r="G27">
        <v>19</v>
      </c>
      <c r="H27">
        <v>18.668731999999999</v>
      </c>
      <c r="I27">
        <v>29430000</v>
      </c>
      <c r="J27">
        <v>22570000</v>
      </c>
      <c r="K27">
        <v>70</v>
      </c>
      <c r="L27">
        <v>4</v>
      </c>
      <c r="M27">
        <v>4</v>
      </c>
      <c r="N27">
        <v>8046000</v>
      </c>
      <c r="O27">
        <v>17000000</v>
      </c>
      <c r="P27">
        <v>49570000</v>
      </c>
      <c r="Q27">
        <v>0</v>
      </c>
      <c r="S27">
        <v>2</v>
      </c>
      <c r="T27">
        <v>2</v>
      </c>
      <c r="U27">
        <v>60</v>
      </c>
      <c r="V27">
        <v>0</v>
      </c>
      <c r="W27">
        <v>10</v>
      </c>
      <c r="X27">
        <v>1</v>
      </c>
      <c r="Y27">
        <v>2460000</v>
      </c>
      <c r="Z27">
        <v>2</v>
      </c>
      <c r="AA27">
        <v>2</v>
      </c>
      <c r="AB27">
        <v>1</v>
      </c>
      <c r="AC27">
        <v>6</v>
      </c>
      <c r="AD27">
        <v>2</v>
      </c>
      <c r="AE27">
        <v>1</v>
      </c>
      <c r="AF27">
        <v>0</v>
      </c>
      <c r="AG27">
        <v>0</v>
      </c>
      <c r="AH27">
        <v>14</v>
      </c>
      <c r="AI27" s="1">
        <v>2</v>
      </c>
    </row>
    <row r="28" spans="1:35">
      <c r="A28" s="9">
        <v>1614176</v>
      </c>
      <c r="B28">
        <v>1</v>
      </c>
      <c r="C28">
        <v>3</v>
      </c>
      <c r="D28">
        <v>100</v>
      </c>
      <c r="E28">
        <v>3100</v>
      </c>
      <c r="F28">
        <v>1987</v>
      </c>
      <c r="G28">
        <v>30</v>
      </c>
      <c r="H28">
        <v>2.6891484000000001</v>
      </c>
      <c r="I28">
        <v>15000000000</v>
      </c>
      <c r="J28">
        <v>10000000000</v>
      </c>
      <c r="K28">
        <v>40</v>
      </c>
      <c r="L28">
        <v>40</v>
      </c>
      <c r="M28">
        <v>35</v>
      </c>
      <c r="N28">
        <v>2000000000</v>
      </c>
      <c r="O28">
        <v>500000000</v>
      </c>
      <c r="P28">
        <v>4000000000</v>
      </c>
      <c r="Q28">
        <v>0</v>
      </c>
      <c r="R28">
        <v>2</v>
      </c>
      <c r="S28">
        <v>2</v>
      </c>
      <c r="T28">
        <v>2</v>
      </c>
      <c r="U28">
        <v>100</v>
      </c>
      <c r="V28">
        <v>0</v>
      </c>
      <c r="W28">
        <v>0</v>
      </c>
      <c r="X28">
        <v>2</v>
      </c>
      <c r="Z28">
        <v>2</v>
      </c>
      <c r="AA28">
        <v>2</v>
      </c>
      <c r="AB28">
        <v>2</v>
      </c>
      <c r="AD28">
        <v>0</v>
      </c>
      <c r="AE28">
        <v>1</v>
      </c>
      <c r="AF28">
        <v>0</v>
      </c>
      <c r="AG28">
        <v>2</v>
      </c>
      <c r="AH28">
        <v>12</v>
      </c>
      <c r="AI28" s="1">
        <v>4</v>
      </c>
    </row>
    <row r="29" spans="1:35">
      <c r="A29" s="9">
        <v>1614178</v>
      </c>
      <c r="B29">
        <v>1</v>
      </c>
      <c r="C29">
        <v>3</v>
      </c>
      <c r="D29">
        <v>10</v>
      </c>
      <c r="E29">
        <v>2599</v>
      </c>
      <c r="F29">
        <v>1984</v>
      </c>
      <c r="G29">
        <v>41</v>
      </c>
      <c r="H29">
        <v>1</v>
      </c>
      <c r="I29">
        <v>30000000</v>
      </c>
      <c r="J29">
        <v>40000000</v>
      </c>
      <c r="K29">
        <v>85</v>
      </c>
      <c r="L29">
        <v>7</v>
      </c>
      <c r="M29">
        <v>10</v>
      </c>
      <c r="N29">
        <v>4000000</v>
      </c>
      <c r="O29">
        <v>13000000</v>
      </c>
      <c r="P29">
        <v>35000000</v>
      </c>
      <c r="Q29">
        <v>0</v>
      </c>
      <c r="S29">
        <v>1</v>
      </c>
      <c r="T29">
        <v>2</v>
      </c>
      <c r="U29">
        <v>70</v>
      </c>
      <c r="V29">
        <v>30</v>
      </c>
      <c r="W29">
        <v>0</v>
      </c>
      <c r="X29">
        <v>2</v>
      </c>
      <c r="Z29">
        <v>1</v>
      </c>
      <c r="AA29">
        <v>2</v>
      </c>
      <c r="AB29">
        <v>1</v>
      </c>
      <c r="AC29">
        <v>3</v>
      </c>
      <c r="AD29">
        <v>1</v>
      </c>
      <c r="AE29">
        <v>1</v>
      </c>
      <c r="AF29">
        <v>1</v>
      </c>
      <c r="AG29">
        <v>2</v>
      </c>
      <c r="AH29">
        <v>14</v>
      </c>
      <c r="AI29" s="1">
        <v>1</v>
      </c>
    </row>
    <row r="30" spans="1:35">
      <c r="A30" s="9">
        <v>1614179</v>
      </c>
      <c r="B30">
        <v>1</v>
      </c>
      <c r="C30">
        <v>3</v>
      </c>
      <c r="D30">
        <v>94</v>
      </c>
      <c r="E30">
        <v>2395</v>
      </c>
      <c r="F30">
        <v>2004</v>
      </c>
      <c r="G30">
        <v>20</v>
      </c>
      <c r="H30">
        <v>1.5225753</v>
      </c>
      <c r="I30">
        <v>2000000000</v>
      </c>
      <c r="J30">
        <v>1600000000</v>
      </c>
      <c r="K30">
        <v>76</v>
      </c>
      <c r="L30">
        <v>92</v>
      </c>
      <c r="M30">
        <v>76</v>
      </c>
      <c r="N30">
        <v>-9</v>
      </c>
      <c r="O30">
        <v>500000000</v>
      </c>
      <c r="P30">
        <v>1800000000</v>
      </c>
      <c r="Q30">
        <v>0</v>
      </c>
      <c r="R30">
        <v>1</v>
      </c>
      <c r="S30">
        <v>1</v>
      </c>
      <c r="T30">
        <v>1</v>
      </c>
      <c r="U30">
        <v>100</v>
      </c>
      <c r="V30">
        <v>0</v>
      </c>
      <c r="W30">
        <v>0</v>
      </c>
      <c r="X30">
        <v>1</v>
      </c>
      <c r="Y30">
        <v>1800000000</v>
      </c>
      <c r="Z30">
        <v>2</v>
      </c>
      <c r="AA30">
        <v>2</v>
      </c>
      <c r="AB30">
        <v>1</v>
      </c>
      <c r="AC30">
        <v>10</v>
      </c>
      <c r="AD30">
        <v>3</v>
      </c>
      <c r="AE30">
        <v>1</v>
      </c>
      <c r="AF30">
        <v>0</v>
      </c>
      <c r="AG30">
        <v>2</v>
      </c>
      <c r="AH30">
        <v>8</v>
      </c>
      <c r="AI30" s="1">
        <v>1</v>
      </c>
    </row>
    <row r="31" spans="1:35">
      <c r="A31" s="9">
        <v>1614180</v>
      </c>
      <c r="B31">
        <v>2</v>
      </c>
      <c r="C31">
        <v>2</v>
      </c>
      <c r="D31">
        <v>30</v>
      </c>
      <c r="E31">
        <v>1071</v>
      </c>
      <c r="F31">
        <v>2000</v>
      </c>
      <c r="G31">
        <v>30</v>
      </c>
      <c r="H31">
        <v>1.9028107999999999</v>
      </c>
      <c r="I31">
        <v>800000000</v>
      </c>
      <c r="J31">
        <v>760000000</v>
      </c>
      <c r="K31">
        <v>10</v>
      </c>
      <c r="L31">
        <v>25</v>
      </c>
      <c r="M31">
        <v>27</v>
      </c>
      <c r="N31">
        <v>30000000</v>
      </c>
      <c r="O31">
        <v>450000000</v>
      </c>
      <c r="P31">
        <v>400000000</v>
      </c>
      <c r="Q31">
        <v>0</v>
      </c>
      <c r="R31">
        <v>1</v>
      </c>
      <c r="S31">
        <v>1</v>
      </c>
      <c r="T31">
        <v>1</v>
      </c>
      <c r="U31">
        <v>70</v>
      </c>
      <c r="V31">
        <v>0</v>
      </c>
      <c r="W31">
        <v>30</v>
      </c>
      <c r="X31">
        <v>1</v>
      </c>
      <c r="Y31">
        <v>200000000</v>
      </c>
      <c r="Z31">
        <v>2</v>
      </c>
      <c r="AA31">
        <v>2</v>
      </c>
      <c r="AB31">
        <v>1</v>
      </c>
      <c r="AC31">
        <v>0</v>
      </c>
      <c r="AD31">
        <v>2</v>
      </c>
      <c r="AE31">
        <v>2</v>
      </c>
      <c r="AF31">
        <v>3</v>
      </c>
      <c r="AG31">
        <v>2</v>
      </c>
      <c r="AH31">
        <v>4</v>
      </c>
      <c r="AI31" s="1">
        <v>2</v>
      </c>
    </row>
    <row r="32" spans="1:35">
      <c r="A32" s="9">
        <v>1614182</v>
      </c>
      <c r="B32">
        <v>1</v>
      </c>
      <c r="C32">
        <v>1</v>
      </c>
      <c r="D32">
        <v>15</v>
      </c>
      <c r="E32">
        <v>2819</v>
      </c>
      <c r="F32">
        <v>2001</v>
      </c>
      <c r="G32">
        <v>15</v>
      </c>
      <c r="H32">
        <v>143.61815000000001</v>
      </c>
      <c r="I32">
        <v>-9</v>
      </c>
      <c r="J32">
        <v>-9</v>
      </c>
      <c r="K32">
        <v>60</v>
      </c>
      <c r="L32">
        <v>20</v>
      </c>
      <c r="M32">
        <v>15</v>
      </c>
      <c r="N32">
        <v>-9</v>
      </c>
      <c r="O32">
        <v>-9</v>
      </c>
      <c r="P32">
        <v>-9</v>
      </c>
      <c r="Q32">
        <v>0</v>
      </c>
      <c r="S32">
        <v>2</v>
      </c>
      <c r="T32">
        <v>2</v>
      </c>
      <c r="U32">
        <v>100</v>
      </c>
      <c r="V32">
        <v>0</v>
      </c>
      <c r="W32">
        <v>0</v>
      </c>
      <c r="X32">
        <v>1</v>
      </c>
      <c r="Y32">
        <v>0</v>
      </c>
      <c r="Z32">
        <v>2</v>
      </c>
      <c r="AA32">
        <v>2</v>
      </c>
      <c r="AB32">
        <v>1</v>
      </c>
      <c r="AC32">
        <v>8</v>
      </c>
      <c r="AD32">
        <v>4</v>
      </c>
      <c r="AE32">
        <v>4</v>
      </c>
      <c r="AF32">
        <v>0</v>
      </c>
      <c r="AG32">
        <v>4</v>
      </c>
      <c r="AH32">
        <v>1</v>
      </c>
      <c r="AI32" s="1">
        <v>3</v>
      </c>
    </row>
    <row r="33" spans="1:35">
      <c r="A33" s="9">
        <v>1614183</v>
      </c>
      <c r="B33">
        <v>2</v>
      </c>
      <c r="C33">
        <v>2</v>
      </c>
      <c r="D33">
        <v>12</v>
      </c>
      <c r="E33">
        <v>1071</v>
      </c>
      <c r="F33">
        <v>2015</v>
      </c>
      <c r="G33">
        <v>10</v>
      </c>
      <c r="H33">
        <v>1.5243005999999999</v>
      </c>
      <c r="I33">
        <v>217920000</v>
      </c>
      <c r="J33">
        <v>-9</v>
      </c>
      <c r="K33">
        <v>2</v>
      </c>
      <c r="L33">
        <v>12</v>
      </c>
      <c r="M33">
        <v>24</v>
      </c>
      <c r="N33">
        <v>36950400</v>
      </c>
      <c r="O33">
        <v>172800000</v>
      </c>
      <c r="P33">
        <v>6000000</v>
      </c>
      <c r="Q33">
        <v>0</v>
      </c>
      <c r="S33">
        <v>1</v>
      </c>
      <c r="T33">
        <v>1</v>
      </c>
      <c r="U33">
        <v>80</v>
      </c>
      <c r="V33">
        <v>0</v>
      </c>
      <c r="W33">
        <v>20</v>
      </c>
      <c r="X33">
        <v>2</v>
      </c>
      <c r="Z33">
        <v>2</v>
      </c>
      <c r="AA33">
        <v>2</v>
      </c>
      <c r="AB33">
        <v>1</v>
      </c>
      <c r="AC33">
        <v>4</v>
      </c>
      <c r="AD33">
        <v>1</v>
      </c>
      <c r="AE33">
        <v>4</v>
      </c>
      <c r="AF33">
        <v>0</v>
      </c>
      <c r="AG33">
        <v>0</v>
      </c>
      <c r="AH33">
        <v>1</v>
      </c>
      <c r="AI33" s="1">
        <v>2</v>
      </c>
    </row>
    <row r="34" spans="1:35">
      <c r="A34" s="9">
        <v>1614185</v>
      </c>
      <c r="B34">
        <v>1</v>
      </c>
      <c r="C34">
        <v>1</v>
      </c>
      <c r="D34">
        <v>7</v>
      </c>
      <c r="E34">
        <v>1811</v>
      </c>
      <c r="F34">
        <v>2000</v>
      </c>
      <c r="G34">
        <v>14</v>
      </c>
      <c r="H34">
        <v>157.86735999999999</v>
      </c>
      <c r="I34">
        <v>30000000</v>
      </c>
      <c r="J34">
        <v>20000000</v>
      </c>
      <c r="K34">
        <v>90</v>
      </c>
      <c r="L34">
        <v>8</v>
      </c>
      <c r="M34">
        <v>2</v>
      </c>
      <c r="N34">
        <v>10000000</v>
      </c>
      <c r="O34">
        <v>15000000</v>
      </c>
      <c r="P34">
        <v>40000000</v>
      </c>
      <c r="Q34">
        <v>0</v>
      </c>
      <c r="S34">
        <v>2</v>
      </c>
      <c r="T34">
        <v>2</v>
      </c>
      <c r="U34">
        <v>20</v>
      </c>
      <c r="V34">
        <v>0</v>
      </c>
      <c r="W34">
        <v>70</v>
      </c>
      <c r="X34">
        <v>2</v>
      </c>
      <c r="Z34">
        <v>2</v>
      </c>
      <c r="AA34">
        <v>2</v>
      </c>
      <c r="AB34">
        <v>2</v>
      </c>
      <c r="AD34">
        <v>1</v>
      </c>
      <c r="AE34">
        <v>1</v>
      </c>
      <c r="AF34">
        <v>1</v>
      </c>
      <c r="AG34">
        <v>0</v>
      </c>
      <c r="AH34">
        <v>14</v>
      </c>
      <c r="AI34" s="1">
        <v>4</v>
      </c>
    </row>
    <row r="35" spans="1:35">
      <c r="A35" s="9">
        <v>1614193</v>
      </c>
      <c r="B35">
        <v>3</v>
      </c>
      <c r="C35">
        <v>3</v>
      </c>
      <c r="D35">
        <v>300</v>
      </c>
      <c r="E35">
        <v>1061</v>
      </c>
      <c r="F35">
        <v>2009</v>
      </c>
      <c r="G35">
        <v>30</v>
      </c>
      <c r="H35">
        <v>1</v>
      </c>
      <c r="I35">
        <v>1200000000</v>
      </c>
      <c r="J35">
        <v>1000000000</v>
      </c>
      <c r="K35">
        <v>60</v>
      </c>
      <c r="L35">
        <v>300</v>
      </c>
      <c r="M35">
        <v>250</v>
      </c>
      <c r="N35">
        <v>200000000</v>
      </c>
      <c r="O35">
        <v>500000000</v>
      </c>
      <c r="P35">
        <v>600000000</v>
      </c>
      <c r="Q35">
        <v>30</v>
      </c>
      <c r="R35">
        <v>1</v>
      </c>
      <c r="S35">
        <v>2</v>
      </c>
      <c r="T35">
        <v>1</v>
      </c>
      <c r="U35">
        <v>60</v>
      </c>
      <c r="V35">
        <v>40</v>
      </c>
      <c r="W35">
        <v>0</v>
      </c>
      <c r="X35">
        <v>2</v>
      </c>
      <c r="Z35">
        <v>2</v>
      </c>
      <c r="AA35">
        <v>2</v>
      </c>
      <c r="AB35">
        <v>1</v>
      </c>
      <c r="AC35">
        <v>2</v>
      </c>
      <c r="AD35">
        <v>2</v>
      </c>
      <c r="AE35">
        <v>2</v>
      </c>
      <c r="AF35">
        <v>1</v>
      </c>
      <c r="AG35">
        <v>1</v>
      </c>
      <c r="AH35">
        <v>14</v>
      </c>
      <c r="AI35" s="1">
        <v>4</v>
      </c>
    </row>
    <row r="36" spans="1:35">
      <c r="A36" s="9">
        <v>1614202</v>
      </c>
      <c r="B36">
        <v>2</v>
      </c>
      <c r="C36">
        <v>1</v>
      </c>
      <c r="D36">
        <v>5</v>
      </c>
      <c r="E36">
        <v>2511</v>
      </c>
      <c r="F36">
        <v>1996</v>
      </c>
      <c r="G36">
        <v>40</v>
      </c>
      <c r="H36">
        <v>68.626059999999995</v>
      </c>
      <c r="I36">
        <v>12000000</v>
      </c>
      <c r="J36">
        <v>-9</v>
      </c>
      <c r="K36">
        <v>-9</v>
      </c>
      <c r="L36">
        <v>5</v>
      </c>
      <c r="M36">
        <v>6</v>
      </c>
      <c r="N36">
        <v>-9</v>
      </c>
      <c r="O36">
        <v>-9</v>
      </c>
      <c r="P36">
        <v>2500000</v>
      </c>
      <c r="Q36">
        <v>0</v>
      </c>
      <c r="S36">
        <v>1</v>
      </c>
      <c r="T36">
        <v>2</v>
      </c>
      <c r="U36">
        <v>20</v>
      </c>
      <c r="V36">
        <v>0</v>
      </c>
      <c r="W36">
        <v>80</v>
      </c>
      <c r="X36">
        <v>2</v>
      </c>
      <c r="Z36">
        <v>2</v>
      </c>
      <c r="AA36">
        <v>2</v>
      </c>
      <c r="AB36">
        <v>-9</v>
      </c>
      <c r="AD36">
        <v>3</v>
      </c>
      <c r="AE36">
        <v>2</v>
      </c>
      <c r="AF36">
        <v>1</v>
      </c>
      <c r="AG36">
        <v>3</v>
      </c>
      <c r="AH36">
        <v>6</v>
      </c>
      <c r="AI36" s="1">
        <v>2</v>
      </c>
    </row>
    <row r="37" spans="1:35">
      <c r="A37" s="9">
        <v>1614203</v>
      </c>
      <c r="B37">
        <v>1</v>
      </c>
      <c r="C37">
        <v>3</v>
      </c>
      <c r="D37">
        <v>55</v>
      </c>
      <c r="E37">
        <v>2599</v>
      </c>
      <c r="F37">
        <v>1956</v>
      </c>
      <c r="G37">
        <v>50</v>
      </c>
      <c r="H37">
        <v>1</v>
      </c>
      <c r="I37">
        <v>750000000</v>
      </c>
      <c r="J37">
        <v>500000000</v>
      </c>
      <c r="K37">
        <v>65</v>
      </c>
      <c r="L37">
        <v>53</v>
      </c>
      <c r="M37">
        <v>65</v>
      </c>
      <c r="N37">
        <v>50000000</v>
      </c>
      <c r="O37">
        <v>300000000</v>
      </c>
      <c r="P37">
        <v>350000000</v>
      </c>
      <c r="Q37">
        <v>0</v>
      </c>
      <c r="R37">
        <v>1</v>
      </c>
      <c r="S37">
        <v>1</v>
      </c>
      <c r="T37">
        <v>2</v>
      </c>
      <c r="U37">
        <v>70</v>
      </c>
      <c r="V37">
        <v>0</v>
      </c>
      <c r="W37">
        <v>0</v>
      </c>
      <c r="X37">
        <v>2</v>
      </c>
      <c r="Z37">
        <v>2</v>
      </c>
      <c r="AA37">
        <v>2</v>
      </c>
      <c r="AB37">
        <v>1</v>
      </c>
      <c r="AC37">
        <v>4</v>
      </c>
      <c r="AD37">
        <v>2</v>
      </c>
      <c r="AE37">
        <v>2</v>
      </c>
      <c r="AF37">
        <v>1</v>
      </c>
      <c r="AG37">
        <v>2</v>
      </c>
      <c r="AH37">
        <v>14</v>
      </c>
      <c r="AI37" s="1">
        <v>1</v>
      </c>
    </row>
    <row r="38" spans="1:35">
      <c r="A38" s="9">
        <v>1614206</v>
      </c>
      <c r="B38">
        <v>4</v>
      </c>
      <c r="C38">
        <v>2</v>
      </c>
      <c r="D38">
        <v>6</v>
      </c>
      <c r="E38">
        <v>1811</v>
      </c>
      <c r="F38">
        <v>2010</v>
      </c>
      <c r="G38">
        <v>12</v>
      </c>
      <c r="H38">
        <v>1.8398361000000001</v>
      </c>
      <c r="I38">
        <v>16450000</v>
      </c>
      <c r="J38">
        <v>8210000</v>
      </c>
      <c r="K38">
        <v>70</v>
      </c>
      <c r="L38">
        <v>4</v>
      </c>
      <c r="M38">
        <v>2</v>
      </c>
      <c r="N38">
        <v>2165000</v>
      </c>
      <c r="O38">
        <v>7000000</v>
      </c>
      <c r="P38">
        <v>70500000</v>
      </c>
      <c r="Q38">
        <v>0</v>
      </c>
      <c r="S38">
        <v>2</v>
      </c>
      <c r="T38">
        <v>2</v>
      </c>
      <c r="U38">
        <v>70</v>
      </c>
      <c r="V38">
        <v>0</v>
      </c>
      <c r="W38">
        <v>0</v>
      </c>
      <c r="X38">
        <v>2</v>
      </c>
      <c r="Z38">
        <v>2</v>
      </c>
      <c r="AA38">
        <v>2</v>
      </c>
      <c r="AB38">
        <v>1</v>
      </c>
      <c r="AC38">
        <v>5</v>
      </c>
      <c r="AD38">
        <v>1</v>
      </c>
      <c r="AE38">
        <v>2</v>
      </c>
      <c r="AF38">
        <v>3</v>
      </c>
      <c r="AG38">
        <v>1</v>
      </c>
      <c r="AH38">
        <v>13</v>
      </c>
      <c r="AI38" s="1">
        <v>2</v>
      </c>
    </row>
    <row r="39" spans="1:35">
      <c r="A39" s="9">
        <v>1614208</v>
      </c>
      <c r="B39">
        <v>2</v>
      </c>
      <c r="C39">
        <v>1</v>
      </c>
      <c r="D39">
        <v>6</v>
      </c>
      <c r="E39">
        <v>1410</v>
      </c>
      <c r="F39">
        <v>2000</v>
      </c>
      <c r="G39">
        <v>25</v>
      </c>
      <c r="H39">
        <v>46.711292</v>
      </c>
      <c r="I39">
        <v>40000000</v>
      </c>
      <c r="J39">
        <v>15000000</v>
      </c>
      <c r="K39">
        <v>50</v>
      </c>
      <c r="L39">
        <v>6</v>
      </c>
      <c r="M39">
        <v>6</v>
      </c>
      <c r="N39">
        <v>-9</v>
      </c>
      <c r="O39">
        <v>30000000</v>
      </c>
      <c r="P39">
        <v>11100000</v>
      </c>
      <c r="Q39">
        <v>0</v>
      </c>
      <c r="S39">
        <v>1</v>
      </c>
      <c r="T39">
        <v>1</v>
      </c>
      <c r="U39">
        <v>73</v>
      </c>
      <c r="V39">
        <v>0</v>
      </c>
      <c r="W39">
        <v>7</v>
      </c>
      <c r="X39">
        <v>1</v>
      </c>
      <c r="Y39">
        <v>2500000</v>
      </c>
      <c r="Z39">
        <v>1</v>
      </c>
      <c r="AA39">
        <v>1</v>
      </c>
      <c r="AB39">
        <v>1</v>
      </c>
      <c r="AC39">
        <v>3</v>
      </c>
      <c r="AD39">
        <v>3</v>
      </c>
      <c r="AE39">
        <v>0</v>
      </c>
      <c r="AF39">
        <v>0</v>
      </c>
      <c r="AG39">
        <v>0</v>
      </c>
      <c r="AH39">
        <v>6</v>
      </c>
      <c r="AI39" s="1">
        <v>2</v>
      </c>
    </row>
    <row r="40" spans="1:35">
      <c r="A40" s="9">
        <v>1614212</v>
      </c>
      <c r="B40">
        <v>1</v>
      </c>
      <c r="C40">
        <v>1</v>
      </c>
      <c r="D40">
        <v>10</v>
      </c>
      <c r="E40">
        <v>1622</v>
      </c>
      <c r="F40">
        <v>2014</v>
      </c>
      <c r="G40">
        <v>10</v>
      </c>
      <c r="H40">
        <v>157.86735999999999</v>
      </c>
      <c r="I40">
        <v>30000000</v>
      </c>
      <c r="J40">
        <v>15000000</v>
      </c>
      <c r="K40">
        <v>35</v>
      </c>
      <c r="L40">
        <v>5</v>
      </c>
      <c r="M40">
        <v>3</v>
      </c>
      <c r="N40">
        <v>10000000</v>
      </c>
      <c r="O40">
        <v>5000000</v>
      </c>
      <c r="P40">
        <v>60000000</v>
      </c>
      <c r="Q40">
        <v>0</v>
      </c>
      <c r="S40">
        <v>2</v>
      </c>
      <c r="T40">
        <v>2</v>
      </c>
      <c r="U40">
        <v>0</v>
      </c>
      <c r="V40">
        <v>0</v>
      </c>
      <c r="W40">
        <v>0</v>
      </c>
      <c r="X40">
        <v>2</v>
      </c>
      <c r="Z40">
        <v>2</v>
      </c>
      <c r="AA40">
        <v>2</v>
      </c>
      <c r="AB40">
        <v>2</v>
      </c>
      <c r="AD40">
        <v>0</v>
      </c>
      <c r="AE40">
        <v>0</v>
      </c>
      <c r="AF40">
        <v>0</v>
      </c>
      <c r="AG40">
        <v>3</v>
      </c>
      <c r="AH40">
        <v>12</v>
      </c>
      <c r="AI40" s="1">
        <v>2</v>
      </c>
    </row>
    <row r="41" spans="1:35">
      <c r="A41" s="9">
        <v>1614213</v>
      </c>
      <c r="B41">
        <v>1</v>
      </c>
      <c r="C41">
        <v>3</v>
      </c>
      <c r="D41">
        <v>20</v>
      </c>
      <c r="E41">
        <v>1061</v>
      </c>
      <c r="F41">
        <v>2001</v>
      </c>
      <c r="G41">
        <v>15</v>
      </c>
      <c r="H41">
        <v>3.8174868000000002</v>
      </c>
      <c r="I41">
        <v>2000000</v>
      </c>
      <c r="J41">
        <v>-7</v>
      </c>
      <c r="K41">
        <v>10</v>
      </c>
      <c r="L41">
        <v>5</v>
      </c>
      <c r="M41">
        <v>-7</v>
      </c>
      <c r="N41">
        <v>-9</v>
      </c>
      <c r="O41">
        <v>-9</v>
      </c>
      <c r="P41">
        <v>-9</v>
      </c>
      <c r="Q41">
        <v>0</v>
      </c>
      <c r="R41">
        <v>2</v>
      </c>
      <c r="S41">
        <v>2</v>
      </c>
      <c r="T41">
        <v>2</v>
      </c>
      <c r="U41">
        <v>100</v>
      </c>
      <c r="V41">
        <v>0</v>
      </c>
      <c r="W41">
        <v>0</v>
      </c>
      <c r="X41">
        <v>2</v>
      </c>
      <c r="Z41">
        <v>2</v>
      </c>
      <c r="AA41">
        <v>2</v>
      </c>
      <c r="AB41">
        <v>1</v>
      </c>
      <c r="AC41">
        <v>6</v>
      </c>
      <c r="AD41">
        <v>0</v>
      </c>
      <c r="AE41">
        <v>3</v>
      </c>
      <c r="AF41">
        <v>0</v>
      </c>
      <c r="AG41">
        <v>4</v>
      </c>
      <c r="AH41">
        <v>1</v>
      </c>
      <c r="AI41" s="1">
        <v>2</v>
      </c>
    </row>
    <row r="42" spans="1:35">
      <c r="A42" s="9">
        <v>1614215</v>
      </c>
      <c r="B42">
        <v>1</v>
      </c>
      <c r="C42">
        <v>3</v>
      </c>
      <c r="D42">
        <v>66</v>
      </c>
      <c r="E42">
        <v>1811</v>
      </c>
      <c r="F42">
        <v>1997</v>
      </c>
      <c r="G42">
        <v>13</v>
      </c>
      <c r="H42">
        <v>1</v>
      </c>
      <c r="I42">
        <v>5000000000</v>
      </c>
      <c r="J42">
        <v>2000000000</v>
      </c>
      <c r="K42">
        <v>100</v>
      </c>
      <c r="L42">
        <v>46</v>
      </c>
      <c r="M42">
        <v>38</v>
      </c>
      <c r="N42">
        <v>300000000</v>
      </c>
      <c r="O42">
        <v>1000000000</v>
      </c>
      <c r="P42">
        <v>-9</v>
      </c>
      <c r="Q42">
        <v>0</v>
      </c>
      <c r="R42">
        <v>1</v>
      </c>
      <c r="S42">
        <v>2</v>
      </c>
      <c r="T42">
        <v>2</v>
      </c>
      <c r="U42">
        <v>40</v>
      </c>
      <c r="V42">
        <v>50</v>
      </c>
      <c r="W42">
        <v>10</v>
      </c>
      <c r="X42">
        <v>1</v>
      </c>
      <c r="Y42">
        <v>85000000</v>
      </c>
      <c r="Z42">
        <v>1</v>
      </c>
      <c r="AA42">
        <v>2</v>
      </c>
      <c r="AB42">
        <v>1</v>
      </c>
      <c r="AC42">
        <v>7</v>
      </c>
      <c r="AD42">
        <v>1</v>
      </c>
      <c r="AE42">
        <v>2</v>
      </c>
      <c r="AF42">
        <v>1</v>
      </c>
      <c r="AG42">
        <v>3</v>
      </c>
      <c r="AH42">
        <v>14</v>
      </c>
      <c r="AI42" s="1">
        <v>4</v>
      </c>
    </row>
    <row r="43" spans="1:35">
      <c r="A43" s="9">
        <v>1614218</v>
      </c>
      <c r="B43">
        <v>1</v>
      </c>
      <c r="C43">
        <v>3</v>
      </c>
      <c r="D43">
        <v>6</v>
      </c>
      <c r="E43">
        <v>2511</v>
      </c>
      <c r="F43">
        <v>1984</v>
      </c>
      <c r="G43">
        <v>39</v>
      </c>
      <c r="H43">
        <v>1</v>
      </c>
      <c r="I43">
        <v>-9</v>
      </c>
      <c r="J43">
        <v>-9</v>
      </c>
      <c r="K43">
        <v>10</v>
      </c>
      <c r="L43">
        <v>5</v>
      </c>
      <c r="M43">
        <v>30</v>
      </c>
      <c r="N43">
        <v>-9</v>
      </c>
      <c r="O43">
        <v>-9</v>
      </c>
      <c r="P43">
        <v>-9</v>
      </c>
      <c r="Q43">
        <v>0</v>
      </c>
      <c r="S43">
        <v>1</v>
      </c>
      <c r="T43">
        <v>2</v>
      </c>
      <c r="U43">
        <v>90</v>
      </c>
      <c r="V43">
        <v>0</v>
      </c>
      <c r="W43">
        <v>0</v>
      </c>
      <c r="X43">
        <v>2</v>
      </c>
      <c r="Z43">
        <v>1</v>
      </c>
      <c r="AA43">
        <v>2</v>
      </c>
      <c r="AB43">
        <v>1</v>
      </c>
      <c r="AC43">
        <v>4</v>
      </c>
      <c r="AD43">
        <v>4</v>
      </c>
      <c r="AE43">
        <v>3</v>
      </c>
      <c r="AF43">
        <v>1</v>
      </c>
      <c r="AG43">
        <v>3</v>
      </c>
      <c r="AH43">
        <v>8</v>
      </c>
      <c r="AI43" s="1">
        <v>4</v>
      </c>
    </row>
    <row r="44" spans="1:35">
      <c r="A44" s="9">
        <v>1614219</v>
      </c>
      <c r="B44">
        <v>1</v>
      </c>
      <c r="C44">
        <v>1</v>
      </c>
      <c r="D44">
        <v>6</v>
      </c>
      <c r="E44">
        <v>1410</v>
      </c>
      <c r="F44">
        <v>1975</v>
      </c>
      <c r="G44">
        <v>50</v>
      </c>
      <c r="H44">
        <v>5.7243896000000003</v>
      </c>
      <c r="I44">
        <v>3600000</v>
      </c>
      <c r="J44">
        <v>3000000</v>
      </c>
      <c r="K44">
        <v>50</v>
      </c>
      <c r="L44">
        <v>6</v>
      </c>
      <c r="M44">
        <v>6</v>
      </c>
      <c r="N44">
        <v>2000000</v>
      </c>
      <c r="O44">
        <v>3500000</v>
      </c>
      <c r="P44">
        <v>10000000</v>
      </c>
      <c r="Q44">
        <v>0</v>
      </c>
      <c r="S44">
        <v>1</v>
      </c>
      <c r="T44">
        <v>2</v>
      </c>
      <c r="U44">
        <v>60</v>
      </c>
      <c r="V44">
        <v>0</v>
      </c>
      <c r="W44">
        <v>0</v>
      </c>
      <c r="X44">
        <v>2</v>
      </c>
      <c r="Z44">
        <v>2</v>
      </c>
      <c r="AA44">
        <v>2</v>
      </c>
      <c r="AB44">
        <v>1</v>
      </c>
      <c r="AC44">
        <v>5</v>
      </c>
      <c r="AD44">
        <v>3</v>
      </c>
      <c r="AE44">
        <v>1</v>
      </c>
      <c r="AF44">
        <v>2</v>
      </c>
      <c r="AG44">
        <v>4</v>
      </c>
      <c r="AH44">
        <v>13</v>
      </c>
      <c r="AI44" s="1">
        <v>2</v>
      </c>
    </row>
    <row r="45" spans="1:35">
      <c r="A45" s="9">
        <v>1614220</v>
      </c>
      <c r="B45">
        <v>1</v>
      </c>
      <c r="C45">
        <v>3</v>
      </c>
      <c r="D45">
        <v>500</v>
      </c>
      <c r="E45">
        <v>1103</v>
      </c>
      <c r="F45">
        <v>1951</v>
      </c>
      <c r="G45">
        <v>25</v>
      </c>
      <c r="H45">
        <v>1</v>
      </c>
      <c r="I45">
        <v>50000000000</v>
      </c>
      <c r="J45">
        <v>35000000000</v>
      </c>
      <c r="K45">
        <v>85</v>
      </c>
      <c r="L45">
        <v>500</v>
      </c>
      <c r="M45">
        <v>500</v>
      </c>
      <c r="N45">
        <v>2000000000</v>
      </c>
      <c r="O45">
        <v>-9</v>
      </c>
      <c r="P45">
        <v>-9</v>
      </c>
      <c r="Q45">
        <v>10</v>
      </c>
      <c r="R45">
        <v>1</v>
      </c>
      <c r="S45">
        <v>1</v>
      </c>
      <c r="T45">
        <v>2</v>
      </c>
      <c r="U45">
        <v>100</v>
      </c>
      <c r="V45">
        <v>0</v>
      </c>
      <c r="W45">
        <v>0</v>
      </c>
      <c r="X45">
        <v>2</v>
      </c>
      <c r="Z45">
        <v>2</v>
      </c>
      <c r="AA45">
        <v>2</v>
      </c>
      <c r="AB45">
        <v>1</v>
      </c>
      <c r="AC45">
        <v>10</v>
      </c>
      <c r="AD45">
        <v>2</v>
      </c>
      <c r="AE45">
        <v>0</v>
      </c>
      <c r="AF45">
        <v>0</v>
      </c>
      <c r="AG45">
        <v>3</v>
      </c>
      <c r="AH45">
        <v>14</v>
      </c>
      <c r="AI45" s="1">
        <v>2</v>
      </c>
    </row>
    <row r="46" spans="1:35">
      <c r="A46" s="9">
        <v>1614222</v>
      </c>
      <c r="B46">
        <v>1</v>
      </c>
      <c r="C46">
        <v>3</v>
      </c>
      <c r="D46">
        <v>50</v>
      </c>
      <c r="E46">
        <v>2511</v>
      </c>
      <c r="F46">
        <v>1965</v>
      </c>
      <c r="G46">
        <v>17</v>
      </c>
      <c r="H46">
        <v>1</v>
      </c>
      <c r="I46">
        <v>1200000000</v>
      </c>
      <c r="J46">
        <v>3000000000</v>
      </c>
      <c r="K46">
        <v>80</v>
      </c>
      <c r="L46">
        <v>50</v>
      </c>
      <c r="M46">
        <v>60</v>
      </c>
      <c r="N46">
        <v>200000000</v>
      </c>
      <c r="O46">
        <v>100000000</v>
      </c>
      <c r="P46">
        <v>-9</v>
      </c>
      <c r="Q46">
        <v>0</v>
      </c>
      <c r="R46">
        <v>1</v>
      </c>
      <c r="S46">
        <v>1</v>
      </c>
      <c r="T46">
        <v>2</v>
      </c>
      <c r="U46">
        <v>100</v>
      </c>
      <c r="V46">
        <v>0</v>
      </c>
      <c r="W46">
        <v>0</v>
      </c>
      <c r="X46">
        <v>1</v>
      </c>
      <c r="Y46">
        <v>109500000</v>
      </c>
      <c r="Z46">
        <v>2</v>
      </c>
      <c r="AA46">
        <v>2</v>
      </c>
      <c r="AB46">
        <v>1</v>
      </c>
      <c r="AC46">
        <v>10</v>
      </c>
      <c r="AD46">
        <v>1</v>
      </c>
      <c r="AE46">
        <v>1</v>
      </c>
      <c r="AF46">
        <v>0</v>
      </c>
      <c r="AG46">
        <v>2</v>
      </c>
      <c r="AH46">
        <v>14</v>
      </c>
      <c r="AI46" s="1">
        <v>1</v>
      </c>
    </row>
    <row r="47" spans="1:35">
      <c r="A47" s="9">
        <v>1614223</v>
      </c>
      <c r="B47">
        <v>1</v>
      </c>
      <c r="C47">
        <v>1</v>
      </c>
      <c r="D47">
        <v>6</v>
      </c>
      <c r="E47">
        <v>1622</v>
      </c>
      <c r="F47">
        <v>2012</v>
      </c>
      <c r="G47">
        <v>28</v>
      </c>
      <c r="H47">
        <v>143.61815000000001</v>
      </c>
      <c r="I47">
        <v>-9</v>
      </c>
      <c r="J47">
        <v>-9</v>
      </c>
      <c r="K47">
        <v>90</v>
      </c>
      <c r="L47">
        <v>4</v>
      </c>
      <c r="M47">
        <v>4</v>
      </c>
      <c r="N47">
        <v>1500000</v>
      </c>
      <c r="O47">
        <v>7000000</v>
      </c>
      <c r="P47">
        <v>1500000</v>
      </c>
      <c r="Q47">
        <v>75</v>
      </c>
      <c r="S47">
        <v>2</v>
      </c>
      <c r="T47">
        <v>2</v>
      </c>
      <c r="U47">
        <v>80</v>
      </c>
      <c r="V47">
        <v>0</v>
      </c>
      <c r="W47">
        <v>0</v>
      </c>
      <c r="X47">
        <v>1</v>
      </c>
      <c r="Y47">
        <v>450000</v>
      </c>
      <c r="Z47">
        <v>2</v>
      </c>
      <c r="AA47">
        <v>2</v>
      </c>
      <c r="AB47">
        <v>1</v>
      </c>
      <c r="AC47">
        <v>2</v>
      </c>
      <c r="AD47">
        <v>1</v>
      </c>
      <c r="AE47">
        <v>1</v>
      </c>
      <c r="AF47">
        <v>2</v>
      </c>
      <c r="AG47">
        <v>2</v>
      </c>
      <c r="AH47">
        <v>7</v>
      </c>
      <c r="AI47" s="1">
        <v>3</v>
      </c>
    </row>
    <row r="48" spans="1:35">
      <c r="A48" s="9">
        <v>1614224</v>
      </c>
      <c r="B48">
        <v>3</v>
      </c>
      <c r="C48">
        <v>2</v>
      </c>
      <c r="D48">
        <v>14</v>
      </c>
      <c r="E48">
        <v>3312</v>
      </c>
      <c r="F48">
        <v>2005</v>
      </c>
      <c r="G48">
        <v>20</v>
      </c>
      <c r="H48">
        <v>1.1482190000000001</v>
      </c>
      <c r="I48">
        <v>50000000</v>
      </c>
      <c r="J48">
        <v>36000000</v>
      </c>
      <c r="K48">
        <v>10</v>
      </c>
      <c r="L48">
        <v>14</v>
      </c>
      <c r="M48">
        <v>5</v>
      </c>
      <c r="N48">
        <v>10000000</v>
      </c>
      <c r="O48">
        <v>-9</v>
      </c>
      <c r="P48">
        <v>40000000</v>
      </c>
      <c r="Q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2</v>
      </c>
      <c r="Z48">
        <v>2</v>
      </c>
      <c r="AA48">
        <v>2</v>
      </c>
      <c r="AB48">
        <v>1</v>
      </c>
      <c r="AC48">
        <v>2</v>
      </c>
      <c r="AD48">
        <v>1</v>
      </c>
      <c r="AE48">
        <v>3</v>
      </c>
      <c r="AF48">
        <v>1</v>
      </c>
      <c r="AG48">
        <v>1</v>
      </c>
      <c r="AH48">
        <v>1</v>
      </c>
      <c r="AI48" s="1">
        <v>2</v>
      </c>
    </row>
    <row r="49" spans="1:35">
      <c r="A49" s="9">
        <v>1614225</v>
      </c>
      <c r="B49">
        <v>2</v>
      </c>
      <c r="C49">
        <v>1</v>
      </c>
      <c r="D49">
        <v>6</v>
      </c>
      <c r="E49">
        <v>1061</v>
      </c>
      <c r="F49">
        <v>2018</v>
      </c>
      <c r="G49">
        <v>10</v>
      </c>
      <c r="H49">
        <v>11.033947</v>
      </c>
      <c r="I49">
        <v>25000000</v>
      </c>
      <c r="J49">
        <v>30000000</v>
      </c>
      <c r="K49">
        <v>100</v>
      </c>
      <c r="L49">
        <v>6</v>
      </c>
      <c r="M49">
        <v>6</v>
      </c>
      <c r="N49">
        <v>7200000</v>
      </c>
      <c r="O49">
        <v>5000000</v>
      </c>
      <c r="P49">
        <v>200000000</v>
      </c>
      <c r="Q49">
        <v>0</v>
      </c>
      <c r="S49">
        <v>2</v>
      </c>
      <c r="T49">
        <v>2</v>
      </c>
      <c r="U49">
        <v>80</v>
      </c>
      <c r="V49">
        <v>0</v>
      </c>
      <c r="W49">
        <v>0</v>
      </c>
      <c r="X49">
        <v>2</v>
      </c>
      <c r="Z49">
        <v>2</v>
      </c>
      <c r="AA49">
        <v>2</v>
      </c>
      <c r="AB49">
        <v>1</v>
      </c>
      <c r="AC49">
        <v>8</v>
      </c>
      <c r="AD49">
        <v>0</v>
      </c>
      <c r="AE49">
        <v>0</v>
      </c>
      <c r="AF49">
        <v>0</v>
      </c>
      <c r="AG49">
        <v>0</v>
      </c>
      <c r="AH49">
        <v>14</v>
      </c>
      <c r="AI49" s="1">
        <v>4</v>
      </c>
    </row>
    <row r="50" spans="1:35">
      <c r="A50" s="9">
        <v>1614227</v>
      </c>
      <c r="B50">
        <v>2</v>
      </c>
      <c r="C50">
        <v>2</v>
      </c>
      <c r="D50">
        <v>15</v>
      </c>
      <c r="E50">
        <v>2599</v>
      </c>
      <c r="F50">
        <v>1997</v>
      </c>
      <c r="G50">
        <v>30</v>
      </c>
      <c r="H50">
        <v>5.2876314999999998</v>
      </c>
      <c r="I50">
        <v>50000000</v>
      </c>
      <c r="J50">
        <v>100000000</v>
      </c>
      <c r="K50">
        <v>55</v>
      </c>
      <c r="L50">
        <v>7</v>
      </c>
      <c r="M50">
        <v>6</v>
      </c>
      <c r="N50">
        <v>11160000</v>
      </c>
      <c r="O50">
        <v>7000000</v>
      </c>
      <c r="P50">
        <v>7000000</v>
      </c>
      <c r="Q50">
        <v>0</v>
      </c>
      <c r="S50">
        <v>2</v>
      </c>
      <c r="T50">
        <v>2</v>
      </c>
      <c r="U50">
        <v>80</v>
      </c>
      <c r="V50">
        <v>0</v>
      </c>
      <c r="W50">
        <v>20</v>
      </c>
      <c r="X50">
        <v>2</v>
      </c>
      <c r="Z50">
        <v>2</v>
      </c>
      <c r="AA50">
        <v>2</v>
      </c>
      <c r="AB50">
        <v>1</v>
      </c>
      <c r="AC50">
        <v>7</v>
      </c>
      <c r="AD50">
        <v>2</v>
      </c>
      <c r="AE50">
        <v>1</v>
      </c>
      <c r="AF50">
        <v>1</v>
      </c>
      <c r="AG50">
        <v>1</v>
      </c>
      <c r="AH50">
        <v>2</v>
      </c>
      <c r="AI50" s="1">
        <v>2</v>
      </c>
    </row>
    <row r="51" spans="1:35">
      <c r="A51" s="9">
        <v>1614229</v>
      </c>
      <c r="B51">
        <v>3</v>
      </c>
      <c r="C51">
        <v>1</v>
      </c>
      <c r="D51">
        <v>10</v>
      </c>
      <c r="E51">
        <v>1061</v>
      </c>
      <c r="F51">
        <v>2001</v>
      </c>
      <c r="G51">
        <v>24</v>
      </c>
      <c r="H51">
        <v>1.7984211000000001</v>
      </c>
      <c r="I51">
        <v>182500000</v>
      </c>
      <c r="J51">
        <v>180000000</v>
      </c>
      <c r="K51">
        <v>100</v>
      </c>
      <c r="L51">
        <v>9</v>
      </c>
      <c r="M51">
        <v>8</v>
      </c>
      <c r="N51">
        <v>48000000</v>
      </c>
      <c r="O51">
        <v>70000000</v>
      </c>
      <c r="P51">
        <v>120000000</v>
      </c>
      <c r="Q51">
        <v>0</v>
      </c>
      <c r="S51">
        <v>2</v>
      </c>
      <c r="T51">
        <v>2</v>
      </c>
      <c r="U51">
        <v>70</v>
      </c>
      <c r="V51">
        <v>0</v>
      </c>
      <c r="W51">
        <v>0</v>
      </c>
      <c r="X51">
        <v>2</v>
      </c>
      <c r="Z51">
        <v>2</v>
      </c>
      <c r="AA51">
        <v>2</v>
      </c>
      <c r="AB51">
        <v>1</v>
      </c>
      <c r="AC51">
        <v>5</v>
      </c>
      <c r="AD51">
        <v>2</v>
      </c>
      <c r="AE51">
        <v>3</v>
      </c>
      <c r="AF51">
        <v>0</v>
      </c>
      <c r="AG51">
        <v>2</v>
      </c>
      <c r="AH51">
        <v>1</v>
      </c>
      <c r="AI51" s="1">
        <v>1</v>
      </c>
    </row>
    <row r="52" spans="1:35">
      <c r="A52" s="9">
        <v>1614230</v>
      </c>
      <c r="B52">
        <v>1</v>
      </c>
      <c r="C52">
        <v>1</v>
      </c>
      <c r="D52">
        <v>8</v>
      </c>
      <c r="E52">
        <v>1410</v>
      </c>
      <c r="F52">
        <v>2010</v>
      </c>
      <c r="G52">
        <v>20</v>
      </c>
      <c r="H52">
        <v>189.57414</v>
      </c>
      <c r="I52">
        <v>34000000</v>
      </c>
      <c r="J52">
        <v>15000000</v>
      </c>
      <c r="K52">
        <v>30</v>
      </c>
      <c r="L52">
        <v>8</v>
      </c>
      <c r="M52">
        <v>4</v>
      </c>
      <c r="N52">
        <v>12000000</v>
      </c>
      <c r="O52">
        <v>30000000</v>
      </c>
      <c r="P52">
        <v>25000000</v>
      </c>
      <c r="Q52">
        <v>0</v>
      </c>
      <c r="S52">
        <v>2</v>
      </c>
      <c r="T52">
        <v>2</v>
      </c>
      <c r="U52">
        <v>50</v>
      </c>
      <c r="V52">
        <v>0</v>
      </c>
      <c r="W52">
        <v>20</v>
      </c>
      <c r="X52">
        <v>1</v>
      </c>
      <c r="Y52">
        <v>550000</v>
      </c>
      <c r="Z52">
        <v>2</v>
      </c>
      <c r="AA52">
        <v>2</v>
      </c>
      <c r="AB52">
        <v>1</v>
      </c>
      <c r="AC52">
        <v>3</v>
      </c>
      <c r="AD52">
        <v>2</v>
      </c>
      <c r="AE52">
        <v>4</v>
      </c>
      <c r="AF52">
        <v>0</v>
      </c>
      <c r="AG52">
        <v>4</v>
      </c>
      <c r="AH52">
        <v>1</v>
      </c>
      <c r="AI52" s="1">
        <v>2</v>
      </c>
    </row>
    <row r="53" spans="1:35">
      <c r="A53" s="9">
        <v>1614231</v>
      </c>
      <c r="B53">
        <v>3</v>
      </c>
      <c r="C53">
        <v>2</v>
      </c>
      <c r="D53">
        <v>120</v>
      </c>
      <c r="E53">
        <v>1071</v>
      </c>
      <c r="F53">
        <v>2002</v>
      </c>
      <c r="G53">
        <v>20</v>
      </c>
      <c r="H53">
        <v>1.356841</v>
      </c>
      <c r="I53">
        <v>700000000</v>
      </c>
      <c r="J53">
        <v>600000000</v>
      </c>
      <c r="K53">
        <v>70</v>
      </c>
      <c r="L53">
        <v>128</v>
      </c>
      <c r="M53">
        <v>128</v>
      </c>
      <c r="N53">
        <v>460800000</v>
      </c>
      <c r="O53">
        <v>300000000</v>
      </c>
      <c r="P53">
        <v>1000000000</v>
      </c>
      <c r="Q53">
        <v>0</v>
      </c>
      <c r="R53">
        <v>1</v>
      </c>
      <c r="S53">
        <v>1</v>
      </c>
      <c r="T53">
        <v>2</v>
      </c>
      <c r="U53">
        <v>80</v>
      </c>
      <c r="V53">
        <v>0</v>
      </c>
      <c r="W53">
        <v>20</v>
      </c>
      <c r="X53">
        <v>2</v>
      </c>
      <c r="Z53">
        <v>2</v>
      </c>
      <c r="AA53">
        <v>2</v>
      </c>
      <c r="AB53">
        <v>1</v>
      </c>
      <c r="AC53">
        <v>2</v>
      </c>
      <c r="AD53">
        <v>4</v>
      </c>
      <c r="AE53">
        <v>0</v>
      </c>
      <c r="AF53">
        <v>0</v>
      </c>
      <c r="AG53">
        <v>4</v>
      </c>
      <c r="AH53">
        <v>12</v>
      </c>
      <c r="AI53" s="1">
        <v>1</v>
      </c>
    </row>
    <row r="54" spans="1:35">
      <c r="A54" s="9">
        <v>1614236</v>
      </c>
      <c r="B54">
        <v>2</v>
      </c>
      <c r="C54">
        <v>1</v>
      </c>
      <c r="D54">
        <v>7</v>
      </c>
      <c r="E54">
        <v>2511</v>
      </c>
      <c r="F54">
        <v>2012</v>
      </c>
      <c r="G54">
        <v>10</v>
      </c>
      <c r="H54">
        <v>68.626059999999995</v>
      </c>
      <c r="I54">
        <v>30000000</v>
      </c>
      <c r="J54">
        <v>25000000</v>
      </c>
      <c r="K54">
        <v>75</v>
      </c>
      <c r="L54">
        <v>6</v>
      </c>
      <c r="M54">
        <v>3</v>
      </c>
      <c r="N54">
        <v>12000000</v>
      </c>
      <c r="O54">
        <v>12000000</v>
      </c>
      <c r="P54">
        <v>15000000</v>
      </c>
      <c r="Q54">
        <v>0</v>
      </c>
      <c r="S54">
        <v>1</v>
      </c>
      <c r="T54">
        <v>2</v>
      </c>
      <c r="U54">
        <v>30</v>
      </c>
      <c r="V54">
        <v>0</v>
      </c>
      <c r="W54">
        <v>25</v>
      </c>
      <c r="X54">
        <v>1</v>
      </c>
      <c r="Y54">
        <v>1500000</v>
      </c>
      <c r="Z54">
        <v>1</v>
      </c>
      <c r="AA54">
        <v>2</v>
      </c>
      <c r="AB54">
        <v>1</v>
      </c>
      <c r="AC54">
        <v>15</v>
      </c>
      <c r="AD54">
        <v>3</v>
      </c>
      <c r="AE54">
        <v>3</v>
      </c>
      <c r="AF54">
        <v>3</v>
      </c>
      <c r="AG54">
        <v>3</v>
      </c>
      <c r="AH54">
        <v>14</v>
      </c>
      <c r="AI54" s="1">
        <v>4</v>
      </c>
    </row>
    <row r="55" spans="1:35">
      <c r="A55" s="9">
        <v>1614238</v>
      </c>
      <c r="B55">
        <v>1</v>
      </c>
      <c r="C55">
        <v>3</v>
      </c>
      <c r="D55">
        <v>800</v>
      </c>
      <c r="E55">
        <v>1410</v>
      </c>
      <c r="F55">
        <v>2014</v>
      </c>
      <c r="G55">
        <v>40</v>
      </c>
      <c r="H55">
        <v>1</v>
      </c>
      <c r="I55">
        <v>26310000000</v>
      </c>
      <c r="J55">
        <v>22700000000</v>
      </c>
      <c r="K55">
        <v>87</v>
      </c>
      <c r="L55">
        <v>800</v>
      </c>
      <c r="M55">
        <v>800</v>
      </c>
      <c r="N55">
        <v>2000000000</v>
      </c>
      <c r="O55">
        <v>1500000000</v>
      </c>
      <c r="P55">
        <v>27000000000</v>
      </c>
      <c r="Q55">
        <v>15</v>
      </c>
      <c r="R55">
        <v>1</v>
      </c>
      <c r="S55">
        <v>1</v>
      </c>
      <c r="T55">
        <v>1</v>
      </c>
      <c r="U55">
        <v>80</v>
      </c>
      <c r="V55">
        <v>0</v>
      </c>
      <c r="W55">
        <v>0</v>
      </c>
      <c r="X55">
        <v>2</v>
      </c>
      <c r="Z55">
        <v>2</v>
      </c>
      <c r="AA55">
        <v>2</v>
      </c>
      <c r="AB55">
        <v>1</v>
      </c>
      <c r="AC55">
        <v>25</v>
      </c>
      <c r="AD55">
        <v>2</v>
      </c>
      <c r="AE55">
        <v>1</v>
      </c>
      <c r="AF55">
        <v>3</v>
      </c>
      <c r="AG55">
        <v>3</v>
      </c>
      <c r="AH55">
        <v>9</v>
      </c>
      <c r="AI55" s="1">
        <v>1</v>
      </c>
    </row>
    <row r="56" spans="1:35">
      <c r="A56" s="9">
        <v>1614246</v>
      </c>
      <c r="B56">
        <v>3</v>
      </c>
      <c r="C56">
        <v>1</v>
      </c>
      <c r="D56">
        <v>15</v>
      </c>
      <c r="E56">
        <v>3100</v>
      </c>
      <c r="F56">
        <v>1986</v>
      </c>
      <c r="G56">
        <v>15</v>
      </c>
      <c r="H56">
        <v>61.413673000000003</v>
      </c>
      <c r="I56">
        <v>45000000</v>
      </c>
      <c r="J56">
        <v>33000000</v>
      </c>
      <c r="K56">
        <v>70</v>
      </c>
      <c r="L56">
        <v>10</v>
      </c>
      <c r="M56">
        <v>10</v>
      </c>
      <c r="N56">
        <v>15000000</v>
      </c>
      <c r="O56">
        <v>20000000</v>
      </c>
      <c r="P56">
        <v>100000000</v>
      </c>
      <c r="Q56">
        <v>0</v>
      </c>
      <c r="S56">
        <v>2</v>
      </c>
      <c r="T56">
        <v>2</v>
      </c>
      <c r="U56">
        <v>100</v>
      </c>
      <c r="V56">
        <v>0</v>
      </c>
      <c r="W56">
        <v>0</v>
      </c>
      <c r="X56">
        <v>1</v>
      </c>
      <c r="Y56">
        <v>15000000</v>
      </c>
      <c r="Z56">
        <v>1</v>
      </c>
      <c r="AA56">
        <v>1</v>
      </c>
      <c r="AB56">
        <v>1</v>
      </c>
      <c r="AC56">
        <v>3</v>
      </c>
      <c r="AD56">
        <v>3</v>
      </c>
      <c r="AE56">
        <v>3</v>
      </c>
      <c r="AF56">
        <v>2</v>
      </c>
      <c r="AG56">
        <v>3</v>
      </c>
      <c r="AH56">
        <v>8</v>
      </c>
      <c r="AI56" s="1">
        <v>4</v>
      </c>
    </row>
    <row r="57" spans="1:35">
      <c r="A57" s="9">
        <v>1614254</v>
      </c>
      <c r="B57">
        <v>3</v>
      </c>
      <c r="C57">
        <v>1</v>
      </c>
      <c r="D57">
        <v>7</v>
      </c>
      <c r="E57">
        <v>1410</v>
      </c>
      <c r="F57">
        <v>1995</v>
      </c>
      <c r="G57">
        <v>30</v>
      </c>
      <c r="H57">
        <v>55.699170000000002</v>
      </c>
      <c r="I57">
        <v>50000000</v>
      </c>
      <c r="J57">
        <v>20000000</v>
      </c>
      <c r="K57">
        <v>100</v>
      </c>
      <c r="L57">
        <v>7</v>
      </c>
      <c r="M57">
        <v>4</v>
      </c>
      <c r="N57">
        <v>5000000</v>
      </c>
      <c r="O57">
        <v>30000000</v>
      </c>
      <c r="P57">
        <v>57000000</v>
      </c>
      <c r="Q57">
        <v>0</v>
      </c>
      <c r="S57">
        <v>2</v>
      </c>
      <c r="T57">
        <v>2</v>
      </c>
      <c r="U57">
        <v>70</v>
      </c>
      <c r="V57">
        <v>0</v>
      </c>
      <c r="W57">
        <v>0</v>
      </c>
      <c r="X57">
        <v>2</v>
      </c>
      <c r="Z57">
        <v>1</v>
      </c>
      <c r="AA57">
        <v>2</v>
      </c>
      <c r="AB57">
        <v>1</v>
      </c>
      <c r="AC57">
        <v>7</v>
      </c>
      <c r="AD57">
        <v>0</v>
      </c>
      <c r="AE57">
        <v>0</v>
      </c>
      <c r="AF57">
        <v>0</v>
      </c>
      <c r="AG57">
        <v>2</v>
      </c>
      <c r="AH57">
        <v>2</v>
      </c>
      <c r="AI57" s="1">
        <v>1</v>
      </c>
    </row>
    <row r="58" spans="1:35">
      <c r="A58" s="9">
        <v>1614255</v>
      </c>
      <c r="B58">
        <v>3</v>
      </c>
      <c r="C58">
        <v>2</v>
      </c>
      <c r="D58">
        <v>25</v>
      </c>
      <c r="E58">
        <v>1520</v>
      </c>
      <c r="F58">
        <v>2003</v>
      </c>
      <c r="G58">
        <v>25</v>
      </c>
      <c r="H58">
        <v>1.1482190000000001</v>
      </c>
      <c r="I58">
        <v>200000000</v>
      </c>
      <c r="J58">
        <v>150000000</v>
      </c>
      <c r="K58">
        <v>80</v>
      </c>
      <c r="L58">
        <v>25</v>
      </c>
      <c r="M58">
        <v>25</v>
      </c>
      <c r="N58">
        <v>40000000</v>
      </c>
      <c r="O58">
        <v>60000000</v>
      </c>
      <c r="P58">
        <v>400000000</v>
      </c>
      <c r="Q58">
        <v>0</v>
      </c>
      <c r="R58">
        <v>1</v>
      </c>
      <c r="S58">
        <v>1</v>
      </c>
      <c r="T58">
        <v>2</v>
      </c>
      <c r="U58">
        <v>40</v>
      </c>
      <c r="V58">
        <v>0</v>
      </c>
      <c r="W58">
        <v>0</v>
      </c>
      <c r="X58">
        <v>1</v>
      </c>
      <c r="Y58">
        <v>-9</v>
      </c>
      <c r="Z58">
        <v>1</v>
      </c>
      <c r="AA58">
        <v>1</v>
      </c>
      <c r="AB58">
        <v>1</v>
      </c>
      <c r="AC58">
        <v>2</v>
      </c>
      <c r="AD58">
        <v>2</v>
      </c>
      <c r="AE58">
        <v>3</v>
      </c>
      <c r="AF58">
        <v>0</v>
      </c>
      <c r="AG58">
        <v>3</v>
      </c>
      <c r="AH58">
        <v>1</v>
      </c>
      <c r="AI58" s="1">
        <v>4</v>
      </c>
    </row>
    <row r="59" spans="1:35">
      <c r="A59" s="9">
        <v>1614256</v>
      </c>
      <c r="B59">
        <v>3</v>
      </c>
      <c r="C59">
        <v>3</v>
      </c>
      <c r="D59">
        <v>262</v>
      </c>
      <c r="E59">
        <v>2599</v>
      </c>
      <c r="F59">
        <v>1983</v>
      </c>
      <c r="G59">
        <v>1</v>
      </c>
      <c r="H59">
        <v>1</v>
      </c>
      <c r="I59">
        <v>18000000</v>
      </c>
      <c r="J59">
        <v>4000000</v>
      </c>
      <c r="K59">
        <v>80</v>
      </c>
      <c r="L59">
        <v>262</v>
      </c>
      <c r="M59">
        <v>262</v>
      </c>
      <c r="N59">
        <v>-9</v>
      </c>
      <c r="O59">
        <v>14000000</v>
      </c>
      <c r="P59">
        <v>10000000</v>
      </c>
      <c r="Q59">
        <v>0</v>
      </c>
      <c r="R59">
        <v>1</v>
      </c>
      <c r="S59">
        <v>1</v>
      </c>
      <c r="T59">
        <v>2</v>
      </c>
      <c r="U59">
        <v>0</v>
      </c>
      <c r="V59">
        <v>0</v>
      </c>
      <c r="W59">
        <v>0</v>
      </c>
      <c r="X59">
        <v>2</v>
      </c>
      <c r="Z59">
        <v>2</v>
      </c>
      <c r="AA59">
        <v>2</v>
      </c>
      <c r="AB59">
        <v>1</v>
      </c>
      <c r="AC59">
        <v>10</v>
      </c>
      <c r="AD59">
        <v>2</v>
      </c>
      <c r="AE59">
        <v>2</v>
      </c>
      <c r="AF59">
        <v>0</v>
      </c>
      <c r="AG59">
        <v>1</v>
      </c>
      <c r="AH59">
        <v>14</v>
      </c>
      <c r="AI59" s="1">
        <v>4</v>
      </c>
    </row>
    <row r="60" spans="1:35">
      <c r="A60" s="9">
        <v>1614258</v>
      </c>
      <c r="B60">
        <v>1</v>
      </c>
      <c r="C60">
        <v>2</v>
      </c>
      <c r="D60">
        <v>12</v>
      </c>
      <c r="E60">
        <v>3220</v>
      </c>
      <c r="F60">
        <v>2005</v>
      </c>
      <c r="G60">
        <v>35</v>
      </c>
      <c r="H60">
        <v>53.759540000000001</v>
      </c>
      <c r="I60">
        <v>20000000</v>
      </c>
      <c r="J60">
        <v>15000000</v>
      </c>
      <c r="K60">
        <v>50</v>
      </c>
      <c r="L60">
        <v>6</v>
      </c>
      <c r="M60">
        <v>5</v>
      </c>
      <c r="N60">
        <v>8000000</v>
      </c>
      <c r="O60">
        <v>3000000</v>
      </c>
      <c r="P60">
        <v>50000000</v>
      </c>
      <c r="Q60">
        <v>0</v>
      </c>
      <c r="S60">
        <v>2</v>
      </c>
      <c r="T60">
        <v>1</v>
      </c>
      <c r="U60">
        <v>90</v>
      </c>
      <c r="V60">
        <v>0</v>
      </c>
      <c r="W60">
        <v>0</v>
      </c>
      <c r="X60">
        <v>2</v>
      </c>
      <c r="Z60">
        <v>2</v>
      </c>
      <c r="AA60">
        <v>2</v>
      </c>
      <c r="AB60">
        <v>1</v>
      </c>
      <c r="AC60">
        <v>5</v>
      </c>
      <c r="AD60">
        <v>2</v>
      </c>
      <c r="AE60">
        <v>4</v>
      </c>
      <c r="AF60">
        <v>1</v>
      </c>
      <c r="AG60">
        <v>0</v>
      </c>
      <c r="AH60">
        <v>1</v>
      </c>
      <c r="AI60" s="1">
        <v>2</v>
      </c>
    </row>
    <row r="61" spans="1:35">
      <c r="A61" s="9">
        <v>1614260</v>
      </c>
      <c r="B61">
        <v>3</v>
      </c>
      <c r="C61">
        <v>1</v>
      </c>
      <c r="D61">
        <v>8</v>
      </c>
      <c r="E61">
        <v>1622</v>
      </c>
      <c r="F61">
        <v>2012</v>
      </c>
      <c r="G61">
        <v>20</v>
      </c>
      <c r="H61">
        <v>72.491690000000006</v>
      </c>
      <c r="I61">
        <v>40000000</v>
      </c>
      <c r="J61">
        <v>30000000</v>
      </c>
      <c r="K61">
        <v>40</v>
      </c>
      <c r="L61">
        <v>8</v>
      </c>
      <c r="M61">
        <v>8</v>
      </c>
      <c r="N61">
        <v>19000000</v>
      </c>
      <c r="O61">
        <v>15000000</v>
      </c>
      <c r="P61">
        <v>10000000</v>
      </c>
      <c r="Q61">
        <v>0</v>
      </c>
      <c r="S61">
        <v>1</v>
      </c>
      <c r="T61">
        <v>2</v>
      </c>
      <c r="U61">
        <v>60</v>
      </c>
      <c r="V61">
        <v>0</v>
      </c>
      <c r="W61">
        <v>0</v>
      </c>
      <c r="X61">
        <v>2</v>
      </c>
      <c r="Z61">
        <v>1</v>
      </c>
      <c r="AA61">
        <v>1</v>
      </c>
      <c r="AB61">
        <v>1</v>
      </c>
      <c r="AC61">
        <v>10</v>
      </c>
      <c r="AD61">
        <v>4</v>
      </c>
      <c r="AE61">
        <v>2</v>
      </c>
      <c r="AF61">
        <v>1</v>
      </c>
      <c r="AG61">
        <v>3</v>
      </c>
      <c r="AH61">
        <v>8</v>
      </c>
      <c r="AI61" s="1">
        <v>4</v>
      </c>
    </row>
    <row r="62" spans="1:35">
      <c r="A62" s="9">
        <v>1614261</v>
      </c>
      <c r="B62">
        <v>3</v>
      </c>
      <c r="C62">
        <v>2</v>
      </c>
      <c r="D62">
        <v>6</v>
      </c>
      <c r="E62">
        <v>1061</v>
      </c>
      <c r="F62">
        <v>2009</v>
      </c>
      <c r="G62">
        <v>16</v>
      </c>
      <c r="H62">
        <v>1.4072496999999999</v>
      </c>
      <c r="I62">
        <v>38000000</v>
      </c>
      <c r="J62">
        <v>42000000</v>
      </c>
      <c r="K62">
        <v>55</v>
      </c>
      <c r="L62">
        <v>6</v>
      </c>
      <c r="M62">
        <v>6</v>
      </c>
      <c r="N62">
        <v>18000000</v>
      </c>
      <c r="O62">
        <v>27000000</v>
      </c>
      <c r="P62">
        <v>20000000</v>
      </c>
      <c r="Q62">
        <v>0</v>
      </c>
      <c r="S62">
        <v>2</v>
      </c>
      <c r="T62">
        <v>2</v>
      </c>
      <c r="U62">
        <v>80</v>
      </c>
      <c r="V62">
        <v>0</v>
      </c>
      <c r="W62">
        <v>0</v>
      </c>
      <c r="X62">
        <v>2</v>
      </c>
      <c r="Z62">
        <v>2</v>
      </c>
      <c r="AA62">
        <v>2</v>
      </c>
      <c r="AB62">
        <v>1</v>
      </c>
      <c r="AC62">
        <v>5</v>
      </c>
      <c r="AD62">
        <v>3</v>
      </c>
      <c r="AE62">
        <v>1</v>
      </c>
      <c r="AF62">
        <v>0</v>
      </c>
      <c r="AG62">
        <v>1</v>
      </c>
      <c r="AH62">
        <v>8</v>
      </c>
      <c r="AI62" s="1">
        <v>2</v>
      </c>
    </row>
    <row r="63" spans="1:35">
      <c r="A63" s="9">
        <v>1614267</v>
      </c>
      <c r="B63">
        <v>4</v>
      </c>
      <c r="C63">
        <v>2</v>
      </c>
      <c r="D63">
        <v>16</v>
      </c>
      <c r="E63">
        <v>1040</v>
      </c>
      <c r="F63">
        <v>2015</v>
      </c>
      <c r="G63">
        <v>10</v>
      </c>
      <c r="H63">
        <v>24.621110000000002</v>
      </c>
      <c r="I63">
        <v>120000000</v>
      </c>
      <c r="J63">
        <v>100000000</v>
      </c>
      <c r="K63">
        <v>80</v>
      </c>
      <c r="L63">
        <v>16</v>
      </c>
      <c r="M63">
        <v>5</v>
      </c>
      <c r="N63">
        <v>50000000</v>
      </c>
      <c r="O63">
        <v>60000000</v>
      </c>
      <c r="P63">
        <v>150000000</v>
      </c>
      <c r="Q63">
        <v>0</v>
      </c>
      <c r="S63">
        <v>2</v>
      </c>
      <c r="T63">
        <v>2</v>
      </c>
      <c r="U63">
        <v>20</v>
      </c>
      <c r="V63">
        <v>0</v>
      </c>
      <c r="W63">
        <v>20</v>
      </c>
      <c r="X63">
        <v>2</v>
      </c>
      <c r="Z63">
        <v>2</v>
      </c>
      <c r="AA63">
        <v>2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3</v>
      </c>
      <c r="AH63">
        <v>14</v>
      </c>
      <c r="AI63" s="1">
        <v>4</v>
      </c>
    </row>
    <row r="64" spans="1:35">
      <c r="A64" s="9">
        <v>1614268</v>
      </c>
      <c r="B64">
        <v>1</v>
      </c>
      <c r="C64">
        <v>3</v>
      </c>
      <c r="D64">
        <v>250</v>
      </c>
      <c r="E64">
        <v>2392</v>
      </c>
      <c r="F64">
        <v>2000</v>
      </c>
      <c r="G64">
        <v>30</v>
      </c>
      <c r="H64">
        <v>1</v>
      </c>
      <c r="I64">
        <v>8000000000</v>
      </c>
      <c r="J64">
        <v>2000000000</v>
      </c>
      <c r="K64">
        <v>80</v>
      </c>
      <c r="L64">
        <v>350</v>
      </c>
      <c r="M64">
        <v>150</v>
      </c>
      <c r="N64">
        <v>500000000</v>
      </c>
      <c r="O64">
        <v>2000000000</v>
      </c>
      <c r="P64">
        <v>30000000000</v>
      </c>
      <c r="Q64">
        <v>0</v>
      </c>
      <c r="R64">
        <v>1</v>
      </c>
      <c r="S64">
        <v>1</v>
      </c>
      <c r="T64">
        <v>2</v>
      </c>
      <c r="U64">
        <v>50</v>
      </c>
      <c r="V64">
        <v>0</v>
      </c>
      <c r="W64">
        <v>50</v>
      </c>
      <c r="X64">
        <v>2</v>
      </c>
      <c r="Z64">
        <v>2</v>
      </c>
      <c r="AA64">
        <v>2</v>
      </c>
      <c r="AB64">
        <v>1</v>
      </c>
      <c r="AC64">
        <v>4</v>
      </c>
      <c r="AD64">
        <v>1</v>
      </c>
      <c r="AE64">
        <v>0</v>
      </c>
      <c r="AF64">
        <v>0</v>
      </c>
      <c r="AG64">
        <v>3</v>
      </c>
      <c r="AH64">
        <v>12</v>
      </c>
      <c r="AI64" s="1">
        <v>4</v>
      </c>
    </row>
    <row r="65" spans="1:35">
      <c r="A65" s="9">
        <v>1614271</v>
      </c>
      <c r="B65">
        <v>4</v>
      </c>
      <c r="C65">
        <v>1</v>
      </c>
      <c r="D65">
        <v>40</v>
      </c>
      <c r="E65">
        <v>1061</v>
      </c>
      <c r="F65">
        <v>2009</v>
      </c>
      <c r="G65">
        <v>10</v>
      </c>
      <c r="H65">
        <v>2.1008390000000001</v>
      </c>
      <c r="I65">
        <v>150000000</v>
      </c>
      <c r="J65">
        <v>100000000</v>
      </c>
      <c r="K65">
        <v>100</v>
      </c>
      <c r="L65">
        <v>40</v>
      </c>
      <c r="M65">
        <v>10</v>
      </c>
      <c r="N65">
        <v>48000000</v>
      </c>
      <c r="O65">
        <v>24000000</v>
      </c>
      <c r="P65">
        <v>10000000</v>
      </c>
      <c r="Q65">
        <v>0</v>
      </c>
      <c r="R65">
        <v>1</v>
      </c>
      <c r="S65">
        <v>2</v>
      </c>
      <c r="T65">
        <v>2</v>
      </c>
      <c r="U65">
        <v>80</v>
      </c>
      <c r="V65">
        <v>20</v>
      </c>
      <c r="W65">
        <v>0</v>
      </c>
      <c r="X65">
        <v>2</v>
      </c>
      <c r="Z65">
        <v>1</v>
      </c>
      <c r="AA65">
        <v>1</v>
      </c>
      <c r="AB65">
        <v>1</v>
      </c>
      <c r="AC65">
        <v>2</v>
      </c>
      <c r="AD65">
        <v>3</v>
      </c>
      <c r="AE65">
        <v>3</v>
      </c>
      <c r="AF65">
        <v>1</v>
      </c>
      <c r="AG65">
        <v>3</v>
      </c>
      <c r="AH65">
        <v>8</v>
      </c>
      <c r="AI65" s="1">
        <v>2</v>
      </c>
    </row>
    <row r="66" spans="1:35">
      <c r="A66" s="9">
        <v>1614276</v>
      </c>
      <c r="B66">
        <v>3</v>
      </c>
      <c r="C66">
        <v>2</v>
      </c>
      <c r="D66">
        <v>30</v>
      </c>
      <c r="E66">
        <v>1101</v>
      </c>
      <c r="F66">
        <v>2004</v>
      </c>
      <c r="G66">
        <v>8</v>
      </c>
      <c r="H66">
        <v>1.3494371000000001</v>
      </c>
      <c r="I66">
        <v>1000000000</v>
      </c>
      <c r="J66">
        <v>900000000</v>
      </c>
      <c r="K66">
        <v>90</v>
      </c>
      <c r="L66">
        <v>26</v>
      </c>
      <c r="M66">
        <v>26</v>
      </c>
      <c r="N66">
        <v>180000000</v>
      </c>
      <c r="O66">
        <v>150000000</v>
      </c>
      <c r="P66">
        <v>200000000</v>
      </c>
      <c r="Q66">
        <v>0</v>
      </c>
      <c r="R66">
        <v>1</v>
      </c>
      <c r="S66">
        <v>2</v>
      </c>
      <c r="T66">
        <v>1</v>
      </c>
      <c r="U66">
        <v>100</v>
      </c>
      <c r="V66">
        <v>0</v>
      </c>
      <c r="W66">
        <v>0</v>
      </c>
      <c r="X66">
        <v>2</v>
      </c>
      <c r="Z66">
        <v>2</v>
      </c>
      <c r="AA66">
        <v>2</v>
      </c>
      <c r="AB66">
        <v>1</v>
      </c>
      <c r="AC66">
        <v>12</v>
      </c>
      <c r="AD66">
        <v>2</v>
      </c>
      <c r="AE66">
        <v>0</v>
      </c>
      <c r="AF66">
        <v>0</v>
      </c>
      <c r="AG66">
        <v>0</v>
      </c>
      <c r="AH66">
        <v>8</v>
      </c>
      <c r="AI66" s="1">
        <v>1</v>
      </c>
    </row>
    <row r="67" spans="1:35">
      <c r="A67" s="9">
        <v>1614277</v>
      </c>
      <c r="B67">
        <v>1</v>
      </c>
      <c r="C67">
        <v>2</v>
      </c>
      <c r="D67">
        <v>115</v>
      </c>
      <c r="E67">
        <v>1410</v>
      </c>
      <c r="F67">
        <v>1991</v>
      </c>
      <c r="G67">
        <v>35</v>
      </c>
      <c r="H67">
        <v>42.939556000000003</v>
      </c>
      <c r="I67">
        <v>2115600000</v>
      </c>
      <c r="J67">
        <v>2227885000</v>
      </c>
      <c r="K67">
        <v>100</v>
      </c>
      <c r="L67">
        <v>115</v>
      </c>
      <c r="M67">
        <v>35</v>
      </c>
      <c r="N67">
        <v>170000000</v>
      </c>
      <c r="O67">
        <v>1370000000</v>
      </c>
      <c r="P67">
        <v>3000000000</v>
      </c>
      <c r="Q67">
        <v>0</v>
      </c>
      <c r="R67">
        <v>1</v>
      </c>
      <c r="S67">
        <v>1</v>
      </c>
      <c r="T67">
        <v>2</v>
      </c>
      <c r="U67">
        <v>50</v>
      </c>
      <c r="V67">
        <v>0</v>
      </c>
      <c r="W67">
        <v>0</v>
      </c>
      <c r="X67">
        <v>2</v>
      </c>
      <c r="Z67">
        <v>1</v>
      </c>
      <c r="AA67">
        <v>2</v>
      </c>
      <c r="AB67">
        <v>1</v>
      </c>
      <c r="AC67">
        <v>7</v>
      </c>
      <c r="AD67">
        <v>3</v>
      </c>
      <c r="AE67">
        <v>3</v>
      </c>
      <c r="AF67">
        <v>1</v>
      </c>
      <c r="AG67">
        <v>1</v>
      </c>
      <c r="AH67">
        <v>1</v>
      </c>
      <c r="AI67" s="1">
        <v>1</v>
      </c>
    </row>
    <row r="68" spans="1:35">
      <c r="A68" s="9">
        <v>1614280</v>
      </c>
      <c r="B68">
        <v>3</v>
      </c>
      <c r="C68">
        <v>2</v>
      </c>
      <c r="D68">
        <v>5</v>
      </c>
      <c r="E68">
        <v>1061</v>
      </c>
      <c r="F68">
        <v>1987</v>
      </c>
      <c r="G68">
        <v>25</v>
      </c>
      <c r="H68">
        <v>1.4072496999999999</v>
      </c>
      <c r="I68">
        <v>42000000</v>
      </c>
      <c r="J68">
        <v>38000000</v>
      </c>
      <c r="K68">
        <v>42</v>
      </c>
      <c r="L68">
        <v>5</v>
      </c>
      <c r="M68">
        <v>5</v>
      </c>
      <c r="N68">
        <v>18000000</v>
      </c>
      <c r="O68">
        <v>23000000</v>
      </c>
      <c r="P68">
        <v>15420000</v>
      </c>
      <c r="Q68">
        <v>0</v>
      </c>
      <c r="S68">
        <v>2</v>
      </c>
      <c r="T68">
        <v>2</v>
      </c>
      <c r="U68">
        <v>95</v>
      </c>
      <c r="V68">
        <v>0</v>
      </c>
      <c r="W68">
        <v>0</v>
      </c>
      <c r="X68">
        <v>2</v>
      </c>
      <c r="Z68">
        <v>2</v>
      </c>
      <c r="AA68">
        <v>2</v>
      </c>
      <c r="AB68">
        <v>1</v>
      </c>
      <c r="AC68">
        <v>5</v>
      </c>
      <c r="AD68">
        <v>2</v>
      </c>
      <c r="AE68">
        <v>4</v>
      </c>
      <c r="AF68">
        <v>1</v>
      </c>
      <c r="AG68">
        <v>4</v>
      </c>
      <c r="AH68">
        <v>1</v>
      </c>
      <c r="AI68" s="1">
        <v>2</v>
      </c>
    </row>
    <row r="69" spans="1:35">
      <c r="A69" s="9">
        <v>1614283</v>
      </c>
      <c r="B69">
        <v>1</v>
      </c>
      <c r="C69">
        <v>3</v>
      </c>
      <c r="D69">
        <v>200</v>
      </c>
      <c r="E69">
        <v>1101</v>
      </c>
      <c r="F69">
        <v>2000</v>
      </c>
      <c r="G69">
        <v>25</v>
      </c>
      <c r="H69">
        <v>1</v>
      </c>
      <c r="I69">
        <v>700000000</v>
      </c>
      <c r="J69">
        <v>650000000</v>
      </c>
      <c r="K69">
        <v>90</v>
      </c>
      <c r="L69">
        <v>180</v>
      </c>
      <c r="M69">
        <v>50</v>
      </c>
      <c r="N69">
        <v>200000000</v>
      </c>
      <c r="O69">
        <v>400000000</v>
      </c>
      <c r="P69">
        <v>1000000000</v>
      </c>
      <c r="Q69">
        <v>0</v>
      </c>
      <c r="R69">
        <v>1</v>
      </c>
      <c r="S69">
        <v>2</v>
      </c>
      <c r="T69">
        <v>2</v>
      </c>
      <c r="U69">
        <v>40</v>
      </c>
      <c r="V69">
        <v>0</v>
      </c>
      <c r="W69">
        <v>50</v>
      </c>
      <c r="X69">
        <v>2</v>
      </c>
      <c r="Z69">
        <v>2</v>
      </c>
      <c r="AA69">
        <v>2</v>
      </c>
      <c r="AB69">
        <v>2</v>
      </c>
      <c r="AD69">
        <v>1</v>
      </c>
      <c r="AE69">
        <v>1</v>
      </c>
      <c r="AF69">
        <v>1</v>
      </c>
      <c r="AG69">
        <v>1</v>
      </c>
      <c r="AH69">
        <v>2</v>
      </c>
      <c r="AI69" s="1">
        <v>4</v>
      </c>
    </row>
    <row r="70" spans="1:35">
      <c r="A70" s="9">
        <v>1614286</v>
      </c>
      <c r="B70">
        <v>1</v>
      </c>
      <c r="C70">
        <v>3</v>
      </c>
      <c r="D70">
        <v>50</v>
      </c>
      <c r="E70">
        <v>1101</v>
      </c>
      <c r="F70">
        <v>2013</v>
      </c>
      <c r="G70">
        <v>15</v>
      </c>
      <c r="H70">
        <v>1</v>
      </c>
      <c r="I70">
        <v>3000000000</v>
      </c>
      <c r="J70">
        <v>1500000000</v>
      </c>
      <c r="K70">
        <v>45</v>
      </c>
      <c r="L70">
        <v>50</v>
      </c>
      <c r="M70">
        <v>45</v>
      </c>
      <c r="N70">
        <v>500000000</v>
      </c>
      <c r="O70">
        <v>300000000</v>
      </c>
      <c r="P70">
        <v>1000000000</v>
      </c>
      <c r="Q70">
        <v>25</v>
      </c>
      <c r="R70">
        <v>2</v>
      </c>
      <c r="S70">
        <v>2</v>
      </c>
      <c r="T70">
        <v>2</v>
      </c>
      <c r="U70">
        <v>80</v>
      </c>
      <c r="V70">
        <v>0</v>
      </c>
      <c r="W70">
        <v>0</v>
      </c>
      <c r="X70">
        <v>2</v>
      </c>
      <c r="Z70">
        <v>2</v>
      </c>
      <c r="AA70">
        <v>2</v>
      </c>
      <c r="AB70">
        <v>2</v>
      </c>
      <c r="AD70">
        <v>0</v>
      </c>
      <c r="AE70">
        <v>0</v>
      </c>
      <c r="AF70">
        <v>0</v>
      </c>
      <c r="AG70">
        <v>2</v>
      </c>
      <c r="AH70">
        <v>13</v>
      </c>
      <c r="AI70" s="1">
        <v>2</v>
      </c>
    </row>
    <row r="71" spans="1:35">
      <c r="A71" s="9">
        <v>1614289</v>
      </c>
      <c r="B71">
        <v>3</v>
      </c>
      <c r="C71">
        <v>2</v>
      </c>
      <c r="D71">
        <v>60</v>
      </c>
      <c r="E71">
        <v>1079</v>
      </c>
      <c r="F71">
        <v>1954</v>
      </c>
      <c r="G71">
        <v>10</v>
      </c>
      <c r="H71">
        <v>1.356841</v>
      </c>
      <c r="I71">
        <v>6000000000</v>
      </c>
      <c r="J71">
        <v>5000000000</v>
      </c>
      <c r="K71">
        <v>100</v>
      </c>
      <c r="L71">
        <v>45</v>
      </c>
      <c r="M71">
        <v>42</v>
      </c>
      <c r="N71">
        <v>420000000</v>
      </c>
      <c r="O71">
        <v>500000000</v>
      </c>
      <c r="P71">
        <v>1000000</v>
      </c>
      <c r="Q71">
        <v>80</v>
      </c>
      <c r="R71">
        <v>1</v>
      </c>
      <c r="S71">
        <v>2</v>
      </c>
      <c r="T71">
        <v>2</v>
      </c>
      <c r="U71">
        <v>60</v>
      </c>
      <c r="V71">
        <v>0</v>
      </c>
      <c r="W71">
        <v>10</v>
      </c>
      <c r="X71">
        <v>2</v>
      </c>
      <c r="Z71">
        <v>2</v>
      </c>
      <c r="AA71">
        <v>2</v>
      </c>
      <c r="AB71">
        <v>1</v>
      </c>
      <c r="AC71">
        <v>3</v>
      </c>
      <c r="AD71">
        <v>3</v>
      </c>
      <c r="AE71">
        <v>3</v>
      </c>
      <c r="AF71">
        <v>0</v>
      </c>
      <c r="AG71">
        <v>0</v>
      </c>
      <c r="AH71">
        <v>1</v>
      </c>
      <c r="AI71" s="1">
        <v>1</v>
      </c>
    </row>
    <row r="72" spans="1:35">
      <c r="A72" s="9">
        <v>1614293</v>
      </c>
      <c r="B72">
        <v>2</v>
      </c>
      <c r="C72">
        <v>3</v>
      </c>
      <c r="D72">
        <v>100</v>
      </c>
      <c r="E72">
        <v>1079</v>
      </c>
      <c r="F72">
        <v>1994</v>
      </c>
      <c r="G72">
        <v>5</v>
      </c>
      <c r="H72">
        <v>1.3089461</v>
      </c>
      <c r="I72">
        <v>36000000000</v>
      </c>
      <c r="J72">
        <v>30000000000</v>
      </c>
      <c r="K72">
        <v>100</v>
      </c>
      <c r="L72">
        <v>100</v>
      </c>
      <c r="M72">
        <v>90</v>
      </c>
      <c r="N72">
        <v>3000000000</v>
      </c>
      <c r="O72">
        <v>1000000000</v>
      </c>
      <c r="P72">
        <v>2000000000</v>
      </c>
      <c r="Q72">
        <v>20</v>
      </c>
      <c r="R72">
        <v>1</v>
      </c>
      <c r="S72">
        <v>2</v>
      </c>
      <c r="T72">
        <v>2</v>
      </c>
      <c r="U72">
        <v>60</v>
      </c>
      <c r="V72">
        <v>20</v>
      </c>
      <c r="W72">
        <v>20</v>
      </c>
      <c r="X72">
        <v>1</v>
      </c>
      <c r="Y72">
        <v>5000000000</v>
      </c>
      <c r="Z72">
        <v>1</v>
      </c>
      <c r="AA72">
        <v>2</v>
      </c>
      <c r="AB72">
        <v>1</v>
      </c>
      <c r="AC72">
        <v>5</v>
      </c>
      <c r="AD72">
        <v>1</v>
      </c>
      <c r="AE72">
        <v>1</v>
      </c>
      <c r="AF72">
        <v>1</v>
      </c>
      <c r="AG72">
        <v>0</v>
      </c>
      <c r="AH72">
        <v>5</v>
      </c>
      <c r="AI72" s="1">
        <v>4</v>
      </c>
    </row>
    <row r="73" spans="1:35">
      <c r="A73" s="9">
        <v>1614300</v>
      </c>
      <c r="B73">
        <v>4</v>
      </c>
      <c r="C73">
        <v>1</v>
      </c>
      <c r="D73">
        <v>9</v>
      </c>
      <c r="E73">
        <v>2511</v>
      </c>
      <c r="F73">
        <v>2010</v>
      </c>
      <c r="G73">
        <v>16</v>
      </c>
      <c r="H73">
        <v>18.668731999999999</v>
      </c>
      <c r="I73">
        <v>86500000</v>
      </c>
      <c r="J73">
        <v>41300000</v>
      </c>
      <c r="K73">
        <v>60</v>
      </c>
      <c r="L73">
        <v>4</v>
      </c>
      <c r="M73">
        <v>3</v>
      </c>
      <c r="N73">
        <v>8530000</v>
      </c>
      <c r="O73">
        <v>39540000</v>
      </c>
      <c r="P73">
        <v>200570000</v>
      </c>
      <c r="Q73">
        <v>0</v>
      </c>
      <c r="S73">
        <v>2</v>
      </c>
      <c r="T73">
        <v>2</v>
      </c>
      <c r="U73">
        <v>70</v>
      </c>
      <c r="V73">
        <v>0</v>
      </c>
      <c r="W73">
        <v>10</v>
      </c>
      <c r="X73">
        <v>2</v>
      </c>
      <c r="Z73">
        <v>2</v>
      </c>
      <c r="AA73">
        <v>2</v>
      </c>
      <c r="AB73">
        <v>1</v>
      </c>
      <c r="AC73">
        <v>7</v>
      </c>
      <c r="AD73">
        <v>2</v>
      </c>
      <c r="AE73">
        <v>1</v>
      </c>
      <c r="AF73">
        <v>0</v>
      </c>
      <c r="AG73">
        <v>0</v>
      </c>
      <c r="AH73">
        <v>13</v>
      </c>
      <c r="AI73" s="1">
        <v>2</v>
      </c>
    </row>
    <row r="74" spans="1:35">
      <c r="A74" s="9">
        <v>1614305</v>
      </c>
      <c r="B74">
        <v>1</v>
      </c>
      <c r="C74">
        <v>3</v>
      </c>
      <c r="D74">
        <v>24</v>
      </c>
      <c r="E74">
        <v>1071</v>
      </c>
      <c r="F74">
        <v>2008</v>
      </c>
      <c r="G74">
        <v>-9</v>
      </c>
      <c r="H74">
        <v>3.8174868000000002</v>
      </c>
      <c r="I74">
        <v>650000000</v>
      </c>
      <c r="J74">
        <v>430000000</v>
      </c>
      <c r="K74">
        <v>100</v>
      </c>
      <c r="L74">
        <v>24</v>
      </c>
      <c r="M74">
        <v>21</v>
      </c>
      <c r="N74">
        <v>162500000</v>
      </c>
      <c r="O74">
        <v>350000000</v>
      </c>
      <c r="P74">
        <v>-9</v>
      </c>
      <c r="Q74">
        <v>0</v>
      </c>
      <c r="R74">
        <v>2</v>
      </c>
      <c r="S74">
        <v>2</v>
      </c>
      <c r="T74">
        <v>2</v>
      </c>
      <c r="U74">
        <v>70</v>
      </c>
      <c r="V74">
        <v>0</v>
      </c>
      <c r="W74">
        <v>30</v>
      </c>
      <c r="X74">
        <v>2</v>
      </c>
      <c r="Z74">
        <v>2</v>
      </c>
      <c r="AA74">
        <v>2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2</v>
      </c>
      <c r="AH74">
        <v>12</v>
      </c>
      <c r="AI74" s="1">
        <v>4</v>
      </c>
    </row>
    <row r="75" spans="1:35">
      <c r="A75" s="9">
        <v>1614307</v>
      </c>
      <c r="B75">
        <v>1</v>
      </c>
      <c r="C75">
        <v>2</v>
      </c>
      <c r="D75">
        <v>5</v>
      </c>
      <c r="E75">
        <v>3312</v>
      </c>
      <c r="F75">
        <v>2002</v>
      </c>
      <c r="G75">
        <v>40</v>
      </c>
      <c r="H75">
        <v>416.63913000000002</v>
      </c>
      <c r="I75">
        <v>600000000</v>
      </c>
      <c r="J75">
        <v>700000000</v>
      </c>
      <c r="K75">
        <v>70</v>
      </c>
      <c r="L75">
        <v>4</v>
      </c>
      <c r="M75">
        <v>6</v>
      </c>
      <c r="N75">
        <v>50000000</v>
      </c>
      <c r="O75">
        <v>200000000</v>
      </c>
      <c r="P75">
        <v>500000000</v>
      </c>
      <c r="Q75">
        <v>0</v>
      </c>
      <c r="S75">
        <v>2</v>
      </c>
      <c r="T75">
        <v>2</v>
      </c>
      <c r="U75">
        <v>70</v>
      </c>
      <c r="V75">
        <v>30</v>
      </c>
      <c r="W75">
        <v>0</v>
      </c>
      <c r="X75">
        <v>1</v>
      </c>
      <c r="Y75">
        <v>100000000</v>
      </c>
      <c r="Z75">
        <v>1</v>
      </c>
      <c r="AA75">
        <v>1</v>
      </c>
      <c r="AB75">
        <v>1</v>
      </c>
      <c r="AC75">
        <v>2</v>
      </c>
      <c r="AD75">
        <v>1</v>
      </c>
      <c r="AE75">
        <v>1</v>
      </c>
      <c r="AF75">
        <v>0</v>
      </c>
      <c r="AG75">
        <v>1</v>
      </c>
      <c r="AH75">
        <v>12</v>
      </c>
      <c r="AI75" s="1">
        <v>1</v>
      </c>
    </row>
    <row r="76" spans="1:35">
      <c r="A76" s="9">
        <v>1614309</v>
      </c>
      <c r="B76">
        <v>2</v>
      </c>
      <c r="C76">
        <v>1</v>
      </c>
      <c r="D76">
        <v>9</v>
      </c>
      <c r="E76">
        <v>1061</v>
      </c>
      <c r="F76">
        <v>2002</v>
      </c>
      <c r="G76">
        <v>-9</v>
      </c>
      <c r="H76">
        <v>11.033947</v>
      </c>
      <c r="I76">
        <v>48000000</v>
      </c>
      <c r="J76">
        <v>-9</v>
      </c>
      <c r="K76">
        <v>80</v>
      </c>
      <c r="L76">
        <v>9</v>
      </c>
      <c r="M76">
        <v>-9</v>
      </c>
      <c r="N76">
        <v>24000000</v>
      </c>
      <c r="O76">
        <v>10000000</v>
      </c>
      <c r="P76">
        <v>50000000</v>
      </c>
      <c r="Q76">
        <v>0</v>
      </c>
      <c r="S76">
        <v>2</v>
      </c>
      <c r="T76">
        <v>1</v>
      </c>
      <c r="U76">
        <v>90</v>
      </c>
      <c r="V76">
        <v>0</v>
      </c>
      <c r="W76">
        <v>0</v>
      </c>
      <c r="X76">
        <v>2</v>
      </c>
      <c r="Z76">
        <v>2</v>
      </c>
      <c r="AA76">
        <v>2</v>
      </c>
      <c r="AB76">
        <v>1</v>
      </c>
      <c r="AC76">
        <v>2</v>
      </c>
      <c r="AD76">
        <v>1</v>
      </c>
      <c r="AE76">
        <v>1</v>
      </c>
      <c r="AF76">
        <v>1</v>
      </c>
      <c r="AG76">
        <v>1</v>
      </c>
      <c r="AH76">
        <v>14</v>
      </c>
      <c r="AI76" s="1">
        <v>2</v>
      </c>
    </row>
    <row r="77" spans="1:35">
      <c r="A77" s="9">
        <v>1614310</v>
      </c>
      <c r="B77">
        <v>3</v>
      </c>
      <c r="C77">
        <v>2</v>
      </c>
      <c r="D77">
        <v>80</v>
      </c>
      <c r="E77">
        <v>1511</v>
      </c>
      <c r="F77">
        <v>1995</v>
      </c>
      <c r="G77">
        <v>20</v>
      </c>
      <c r="H77">
        <v>1.2895220000000001</v>
      </c>
      <c r="I77">
        <v>5483616000</v>
      </c>
      <c r="J77">
        <v>2000000000</v>
      </c>
      <c r="K77">
        <v>30</v>
      </c>
      <c r="L77">
        <v>200</v>
      </c>
      <c r="M77">
        <v>150</v>
      </c>
      <c r="N77">
        <v>300000000</v>
      </c>
      <c r="O77">
        <v>500000000</v>
      </c>
      <c r="P77">
        <v>300000000</v>
      </c>
      <c r="Q77">
        <v>100</v>
      </c>
      <c r="R77">
        <v>2</v>
      </c>
      <c r="S77">
        <v>2</v>
      </c>
      <c r="T77">
        <v>2</v>
      </c>
      <c r="U77">
        <v>0</v>
      </c>
      <c r="V77">
        <v>0</v>
      </c>
      <c r="W77">
        <v>0</v>
      </c>
      <c r="X77">
        <v>2</v>
      </c>
      <c r="Z77">
        <v>1</v>
      </c>
      <c r="AA77">
        <v>2</v>
      </c>
      <c r="AB77">
        <v>1</v>
      </c>
      <c r="AC77">
        <v>5</v>
      </c>
      <c r="AD77">
        <v>3</v>
      </c>
      <c r="AE77">
        <v>2</v>
      </c>
      <c r="AF77">
        <v>3</v>
      </c>
      <c r="AG77">
        <v>4</v>
      </c>
      <c r="AH77">
        <v>4</v>
      </c>
      <c r="AI77" s="1">
        <v>4</v>
      </c>
    </row>
    <row r="78" spans="1:35">
      <c r="A78" s="9">
        <v>1614312</v>
      </c>
      <c r="B78">
        <v>3</v>
      </c>
      <c r="C78">
        <v>1</v>
      </c>
      <c r="D78">
        <v>13</v>
      </c>
      <c r="E78">
        <v>1071</v>
      </c>
      <c r="F78">
        <v>2010</v>
      </c>
      <c r="G78">
        <v>15</v>
      </c>
      <c r="H78">
        <v>7.8370920000000002</v>
      </c>
      <c r="I78">
        <v>400000000</v>
      </c>
      <c r="J78">
        <v>350000000</v>
      </c>
      <c r="K78">
        <v>90</v>
      </c>
      <c r="L78">
        <v>7</v>
      </c>
      <c r="M78">
        <v>7</v>
      </c>
      <c r="N78">
        <v>39000000</v>
      </c>
      <c r="O78">
        <v>80000000</v>
      </c>
      <c r="P78">
        <v>90000000</v>
      </c>
      <c r="Q78">
        <v>0</v>
      </c>
      <c r="S78">
        <v>1</v>
      </c>
      <c r="T78">
        <v>2</v>
      </c>
      <c r="U78">
        <v>80</v>
      </c>
      <c r="V78">
        <v>0</v>
      </c>
      <c r="W78">
        <v>0</v>
      </c>
      <c r="X78">
        <v>2</v>
      </c>
      <c r="Z78">
        <v>2</v>
      </c>
      <c r="AA78">
        <v>2</v>
      </c>
      <c r="AB78">
        <v>1</v>
      </c>
      <c r="AC78">
        <v>5</v>
      </c>
      <c r="AD78">
        <v>3</v>
      </c>
      <c r="AE78">
        <v>3</v>
      </c>
      <c r="AF78">
        <v>2</v>
      </c>
      <c r="AG78">
        <v>3</v>
      </c>
      <c r="AH78">
        <v>8</v>
      </c>
      <c r="AI78" s="1">
        <v>1</v>
      </c>
    </row>
    <row r="79" spans="1:35">
      <c r="A79" s="9">
        <v>1614314</v>
      </c>
      <c r="B79">
        <v>1</v>
      </c>
      <c r="C79">
        <v>1</v>
      </c>
      <c r="D79">
        <v>6</v>
      </c>
      <c r="E79">
        <v>2591</v>
      </c>
      <c r="F79">
        <v>2004</v>
      </c>
      <c r="G79">
        <v>21</v>
      </c>
      <c r="H79">
        <v>157.86735999999999</v>
      </c>
      <c r="I79">
        <v>10000000</v>
      </c>
      <c r="J79">
        <v>4000000</v>
      </c>
      <c r="K79">
        <v>100</v>
      </c>
      <c r="L79">
        <v>6</v>
      </c>
      <c r="M79">
        <v>8</v>
      </c>
      <c r="N79">
        <v>4000000</v>
      </c>
      <c r="O79">
        <v>-9</v>
      </c>
      <c r="P79">
        <v>25000000</v>
      </c>
      <c r="Q79">
        <v>0</v>
      </c>
      <c r="S79">
        <v>1</v>
      </c>
      <c r="T79">
        <v>1</v>
      </c>
      <c r="U79">
        <v>68</v>
      </c>
      <c r="V79">
        <v>0</v>
      </c>
      <c r="W79">
        <v>0</v>
      </c>
      <c r="X79">
        <v>1</v>
      </c>
      <c r="Y79">
        <v>15000000</v>
      </c>
      <c r="Z79">
        <v>2</v>
      </c>
      <c r="AA79">
        <v>1</v>
      </c>
      <c r="AB79">
        <v>1</v>
      </c>
      <c r="AC79">
        <v>8</v>
      </c>
      <c r="AD79">
        <v>4</v>
      </c>
      <c r="AE79">
        <v>3</v>
      </c>
      <c r="AF79">
        <v>2</v>
      </c>
      <c r="AG79">
        <v>2</v>
      </c>
      <c r="AH79">
        <v>1</v>
      </c>
      <c r="AI79" s="1">
        <v>1</v>
      </c>
    </row>
    <row r="80" spans="1:35">
      <c r="A80" s="9">
        <v>1614316</v>
      </c>
      <c r="B80">
        <v>2</v>
      </c>
      <c r="C80">
        <v>2</v>
      </c>
      <c r="D80">
        <v>20</v>
      </c>
      <c r="E80">
        <v>1050</v>
      </c>
      <c r="F80">
        <v>2016</v>
      </c>
      <c r="G80">
        <v>-9</v>
      </c>
      <c r="H80">
        <v>1.5243005999999999</v>
      </c>
      <c r="I80">
        <v>-9</v>
      </c>
      <c r="J80">
        <v>-9</v>
      </c>
      <c r="K80">
        <v>80</v>
      </c>
      <c r="L80">
        <v>15</v>
      </c>
      <c r="M80">
        <v>-9</v>
      </c>
      <c r="N80">
        <v>142800000</v>
      </c>
      <c r="O80">
        <v>-9</v>
      </c>
      <c r="P80">
        <v>500000000</v>
      </c>
      <c r="Q80">
        <v>0</v>
      </c>
      <c r="R80">
        <v>1</v>
      </c>
      <c r="S80">
        <v>1</v>
      </c>
      <c r="T80">
        <v>1</v>
      </c>
      <c r="U80">
        <v>100</v>
      </c>
      <c r="V80">
        <v>0</v>
      </c>
      <c r="W80">
        <v>0</v>
      </c>
      <c r="X80">
        <v>1</v>
      </c>
      <c r="Y80">
        <v>6000000</v>
      </c>
      <c r="Z80">
        <v>2</v>
      </c>
      <c r="AA80">
        <v>2</v>
      </c>
      <c r="AB80">
        <v>1</v>
      </c>
      <c r="AC80">
        <v>4</v>
      </c>
      <c r="AD80">
        <v>2</v>
      </c>
      <c r="AE80">
        <v>1</v>
      </c>
      <c r="AF80">
        <v>1</v>
      </c>
      <c r="AG80">
        <v>3</v>
      </c>
      <c r="AH80">
        <v>1</v>
      </c>
      <c r="AI80" s="1">
        <v>2</v>
      </c>
    </row>
    <row r="81" spans="1:35">
      <c r="A81" s="9">
        <v>1614317</v>
      </c>
      <c r="B81">
        <v>3</v>
      </c>
      <c r="C81">
        <v>1</v>
      </c>
      <c r="D81">
        <v>7</v>
      </c>
      <c r="E81">
        <v>1062</v>
      </c>
      <c r="F81">
        <v>2019</v>
      </c>
      <c r="G81">
        <v>5</v>
      </c>
      <c r="H81">
        <v>1.7984211000000001</v>
      </c>
      <c r="I81">
        <v>24000000</v>
      </c>
      <c r="J81">
        <v>20000000</v>
      </c>
      <c r="K81">
        <v>70</v>
      </c>
      <c r="L81">
        <v>7</v>
      </c>
      <c r="M81">
        <v>4</v>
      </c>
      <c r="N81">
        <v>10000000</v>
      </c>
      <c r="O81">
        <v>5000000</v>
      </c>
      <c r="P81">
        <v>15000000</v>
      </c>
      <c r="Q81">
        <v>0</v>
      </c>
      <c r="S81">
        <v>2</v>
      </c>
      <c r="T81">
        <v>2</v>
      </c>
      <c r="U81">
        <v>30</v>
      </c>
      <c r="V81">
        <v>70</v>
      </c>
      <c r="W81">
        <v>0</v>
      </c>
      <c r="X81">
        <v>2</v>
      </c>
      <c r="Z81">
        <v>1</v>
      </c>
      <c r="AA81">
        <v>2</v>
      </c>
      <c r="AB81">
        <v>1</v>
      </c>
      <c r="AC81">
        <v>4</v>
      </c>
      <c r="AD81">
        <v>3</v>
      </c>
      <c r="AE81">
        <v>3</v>
      </c>
      <c r="AF81">
        <v>0</v>
      </c>
      <c r="AG81">
        <v>3</v>
      </c>
      <c r="AH81">
        <v>8</v>
      </c>
      <c r="AI81" s="1">
        <v>1</v>
      </c>
    </row>
    <row r="82" spans="1:35">
      <c r="A82" s="9">
        <v>1614319</v>
      </c>
      <c r="B82">
        <v>2</v>
      </c>
      <c r="C82">
        <v>2</v>
      </c>
      <c r="D82">
        <v>20</v>
      </c>
      <c r="E82">
        <v>2022</v>
      </c>
      <c r="F82">
        <v>2017</v>
      </c>
      <c r="G82">
        <v>6</v>
      </c>
      <c r="H82">
        <v>2.6198342000000001</v>
      </c>
      <c r="I82">
        <v>210000000</v>
      </c>
      <c r="J82">
        <v>180000000</v>
      </c>
      <c r="K82">
        <v>40</v>
      </c>
      <c r="L82">
        <v>10</v>
      </c>
      <c r="M82">
        <v>5</v>
      </c>
      <c r="N82">
        <v>50000000</v>
      </c>
      <c r="O82">
        <v>150000000</v>
      </c>
      <c r="P82">
        <v>100000000</v>
      </c>
      <c r="Q82">
        <v>0</v>
      </c>
      <c r="R82">
        <v>1</v>
      </c>
      <c r="S82">
        <v>1</v>
      </c>
      <c r="T82">
        <v>1</v>
      </c>
      <c r="U82">
        <v>20</v>
      </c>
      <c r="V82">
        <v>20</v>
      </c>
      <c r="W82">
        <v>10</v>
      </c>
      <c r="X82">
        <v>1</v>
      </c>
      <c r="Y82">
        <v>0</v>
      </c>
      <c r="Z82">
        <v>1</v>
      </c>
      <c r="AA82">
        <v>1</v>
      </c>
      <c r="AB82">
        <v>1</v>
      </c>
      <c r="AC82">
        <v>3</v>
      </c>
      <c r="AD82">
        <v>2</v>
      </c>
      <c r="AE82">
        <v>3</v>
      </c>
      <c r="AF82">
        <v>2</v>
      </c>
      <c r="AG82">
        <v>4</v>
      </c>
      <c r="AH82">
        <v>12</v>
      </c>
      <c r="AI82" s="1">
        <v>2</v>
      </c>
    </row>
    <row r="83" spans="1:35">
      <c r="A83" s="9">
        <v>1614321</v>
      </c>
      <c r="B83">
        <v>3</v>
      </c>
      <c r="C83">
        <v>2</v>
      </c>
      <c r="D83">
        <v>150</v>
      </c>
      <c r="E83">
        <v>1061</v>
      </c>
      <c r="F83">
        <v>2005</v>
      </c>
      <c r="G83">
        <v>20</v>
      </c>
      <c r="H83">
        <v>1.6103765000000001</v>
      </c>
      <c r="I83">
        <v>15000000000</v>
      </c>
      <c r="J83">
        <v>25000000000</v>
      </c>
      <c r="K83">
        <v>50</v>
      </c>
      <c r="L83">
        <v>100</v>
      </c>
      <c r="M83">
        <v>150</v>
      </c>
      <c r="N83">
        <v>300000000</v>
      </c>
      <c r="O83">
        <v>11000000000</v>
      </c>
      <c r="P83">
        <v>80000000</v>
      </c>
      <c r="Q83">
        <v>0</v>
      </c>
      <c r="R83">
        <v>1</v>
      </c>
      <c r="S83">
        <v>2</v>
      </c>
      <c r="T83">
        <v>2</v>
      </c>
      <c r="U83">
        <v>100</v>
      </c>
      <c r="V83">
        <v>0</v>
      </c>
      <c r="W83">
        <v>0</v>
      </c>
      <c r="X83">
        <v>2</v>
      </c>
      <c r="Z83">
        <v>1</v>
      </c>
      <c r="AA83">
        <v>2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1</v>
      </c>
      <c r="AH83">
        <v>7</v>
      </c>
      <c r="AI83" s="1">
        <v>4</v>
      </c>
    </row>
    <row r="84" spans="1:35">
      <c r="A84" s="9">
        <v>1614322</v>
      </c>
      <c r="B84">
        <v>3</v>
      </c>
      <c r="C84">
        <v>3</v>
      </c>
      <c r="D84">
        <v>350</v>
      </c>
      <c r="E84">
        <v>2394</v>
      </c>
      <c r="F84">
        <v>2018</v>
      </c>
      <c r="G84">
        <v>37</v>
      </c>
      <c r="H84">
        <v>1</v>
      </c>
      <c r="I84">
        <v>12000000000</v>
      </c>
      <c r="J84">
        <v>10000000000</v>
      </c>
      <c r="K84">
        <v>40</v>
      </c>
      <c r="L84">
        <v>350</v>
      </c>
      <c r="M84">
        <v>350</v>
      </c>
      <c r="N84">
        <v>1000000000</v>
      </c>
      <c r="O84">
        <v>2500000000</v>
      </c>
      <c r="P84">
        <v>4000000000</v>
      </c>
      <c r="Q84">
        <v>0</v>
      </c>
      <c r="R84">
        <v>1</v>
      </c>
      <c r="S84">
        <v>2</v>
      </c>
      <c r="T84">
        <v>2</v>
      </c>
      <c r="U84">
        <v>100</v>
      </c>
      <c r="V84">
        <v>0</v>
      </c>
      <c r="W84">
        <v>0</v>
      </c>
      <c r="X84">
        <v>2</v>
      </c>
      <c r="Z84">
        <v>2</v>
      </c>
      <c r="AA84">
        <v>2</v>
      </c>
      <c r="AB84">
        <v>1</v>
      </c>
      <c r="AC84">
        <v>4</v>
      </c>
      <c r="AD84">
        <v>3</v>
      </c>
      <c r="AE84">
        <v>1</v>
      </c>
      <c r="AF84">
        <v>0</v>
      </c>
      <c r="AG84">
        <v>0</v>
      </c>
      <c r="AH84">
        <v>8</v>
      </c>
      <c r="AI84" s="1">
        <v>2</v>
      </c>
    </row>
    <row r="85" spans="1:35">
      <c r="A85" s="9">
        <v>1614327</v>
      </c>
      <c r="B85">
        <v>1</v>
      </c>
      <c r="C85">
        <v>2</v>
      </c>
      <c r="D85">
        <v>10</v>
      </c>
      <c r="E85">
        <v>1811</v>
      </c>
      <c r="F85">
        <v>2000</v>
      </c>
      <c r="G85">
        <v>20</v>
      </c>
      <c r="H85">
        <v>48.349552000000003</v>
      </c>
      <c r="I85">
        <v>30000000</v>
      </c>
      <c r="J85">
        <v>8000000</v>
      </c>
      <c r="K85">
        <v>89</v>
      </c>
      <c r="L85">
        <v>8</v>
      </c>
      <c r="M85">
        <v>2</v>
      </c>
      <c r="N85">
        <v>15000000</v>
      </c>
      <c r="O85">
        <v>6000000</v>
      </c>
      <c r="P85">
        <v>50000000</v>
      </c>
      <c r="Q85">
        <v>0</v>
      </c>
      <c r="S85">
        <v>1</v>
      </c>
      <c r="T85">
        <v>2</v>
      </c>
      <c r="U85">
        <v>50</v>
      </c>
      <c r="V85">
        <v>0</v>
      </c>
      <c r="W85">
        <v>2</v>
      </c>
      <c r="X85">
        <v>2</v>
      </c>
      <c r="Z85">
        <v>2</v>
      </c>
      <c r="AA85">
        <v>2</v>
      </c>
      <c r="AB85">
        <v>2</v>
      </c>
      <c r="AD85">
        <v>0</v>
      </c>
      <c r="AE85">
        <v>1</v>
      </c>
      <c r="AF85">
        <v>0</v>
      </c>
      <c r="AG85">
        <v>1</v>
      </c>
      <c r="AH85">
        <v>4</v>
      </c>
      <c r="AI85" s="1">
        <v>4</v>
      </c>
    </row>
    <row r="86" spans="1:35">
      <c r="A86" s="9">
        <v>1614329</v>
      </c>
      <c r="B86">
        <v>3</v>
      </c>
      <c r="C86">
        <v>2</v>
      </c>
      <c r="D86">
        <v>6</v>
      </c>
      <c r="E86">
        <v>3100</v>
      </c>
      <c r="F86">
        <v>2010</v>
      </c>
      <c r="G86">
        <v>15</v>
      </c>
      <c r="H86">
        <v>1.6637995999999999</v>
      </c>
      <c r="I86">
        <v>250000000</v>
      </c>
      <c r="J86">
        <v>230000000</v>
      </c>
      <c r="K86">
        <v>90</v>
      </c>
      <c r="L86">
        <v>5</v>
      </c>
      <c r="M86">
        <v>5</v>
      </c>
      <c r="N86">
        <v>25200000</v>
      </c>
      <c r="O86">
        <v>30000000</v>
      </c>
      <c r="P86">
        <v>60000000</v>
      </c>
      <c r="Q86">
        <v>0</v>
      </c>
      <c r="S86">
        <v>2</v>
      </c>
      <c r="T86">
        <v>2</v>
      </c>
      <c r="U86">
        <v>90</v>
      </c>
      <c r="V86">
        <v>0</v>
      </c>
      <c r="W86">
        <v>0</v>
      </c>
      <c r="X86">
        <v>2</v>
      </c>
      <c r="Z86">
        <v>2</v>
      </c>
      <c r="AA86">
        <v>2</v>
      </c>
      <c r="AB86">
        <v>2</v>
      </c>
      <c r="AD86">
        <v>2</v>
      </c>
      <c r="AE86">
        <v>2</v>
      </c>
      <c r="AF86">
        <v>0</v>
      </c>
      <c r="AG86">
        <v>3</v>
      </c>
      <c r="AH86">
        <v>12</v>
      </c>
      <c r="AI86" s="1">
        <v>1</v>
      </c>
    </row>
    <row r="87" spans="1:35">
      <c r="A87" s="9">
        <v>1614330</v>
      </c>
      <c r="B87">
        <v>2</v>
      </c>
      <c r="C87">
        <v>2</v>
      </c>
      <c r="D87">
        <v>11</v>
      </c>
      <c r="E87">
        <v>2511</v>
      </c>
      <c r="F87">
        <v>2007</v>
      </c>
      <c r="G87">
        <v>18</v>
      </c>
      <c r="H87">
        <v>2.6198342000000001</v>
      </c>
      <c r="I87">
        <v>650000000</v>
      </c>
      <c r="J87">
        <v>470000000</v>
      </c>
      <c r="K87">
        <v>90</v>
      </c>
      <c r="L87">
        <v>7</v>
      </c>
      <c r="M87">
        <v>7</v>
      </c>
      <c r="N87">
        <v>85800000</v>
      </c>
      <c r="O87">
        <v>50000000</v>
      </c>
      <c r="P87">
        <v>70000000</v>
      </c>
      <c r="Q87">
        <v>0</v>
      </c>
      <c r="S87">
        <v>1</v>
      </c>
      <c r="T87">
        <v>1</v>
      </c>
      <c r="U87">
        <v>80</v>
      </c>
      <c r="V87">
        <v>0</v>
      </c>
      <c r="W87">
        <v>0</v>
      </c>
      <c r="X87">
        <v>2</v>
      </c>
      <c r="Z87">
        <v>2</v>
      </c>
      <c r="AA87">
        <v>2</v>
      </c>
      <c r="AB87">
        <v>1</v>
      </c>
      <c r="AC87">
        <v>4</v>
      </c>
      <c r="AD87">
        <v>4</v>
      </c>
      <c r="AE87">
        <v>3</v>
      </c>
      <c r="AF87">
        <v>2</v>
      </c>
      <c r="AG87">
        <v>2</v>
      </c>
      <c r="AH87">
        <v>8</v>
      </c>
      <c r="AI87" s="1">
        <v>1</v>
      </c>
    </row>
    <row r="88" spans="1:35">
      <c r="A88" s="9">
        <v>1614332</v>
      </c>
      <c r="B88">
        <v>1</v>
      </c>
      <c r="C88">
        <v>3</v>
      </c>
      <c r="D88">
        <v>51</v>
      </c>
      <c r="E88">
        <v>2720</v>
      </c>
      <c r="F88">
        <v>1967</v>
      </c>
      <c r="G88">
        <v>28</v>
      </c>
      <c r="H88">
        <v>1.574964</v>
      </c>
      <c r="I88">
        <v>500000000</v>
      </c>
      <c r="J88">
        <v>300000000</v>
      </c>
      <c r="K88">
        <v>95</v>
      </c>
      <c r="L88">
        <v>51</v>
      </c>
      <c r="M88">
        <v>15</v>
      </c>
      <c r="N88">
        <v>150000000</v>
      </c>
      <c r="O88">
        <v>250000000</v>
      </c>
      <c r="P88">
        <v>700000000</v>
      </c>
      <c r="Q88">
        <v>0</v>
      </c>
      <c r="R88">
        <v>1</v>
      </c>
      <c r="S88">
        <v>2</v>
      </c>
      <c r="T88">
        <v>2</v>
      </c>
      <c r="U88">
        <v>50</v>
      </c>
      <c r="V88">
        <v>0</v>
      </c>
      <c r="W88">
        <v>35</v>
      </c>
      <c r="X88">
        <v>2</v>
      </c>
      <c r="Z88">
        <v>2</v>
      </c>
      <c r="AA88">
        <v>2</v>
      </c>
      <c r="AB88">
        <v>1</v>
      </c>
      <c r="AC88">
        <v>2</v>
      </c>
      <c r="AD88">
        <v>1</v>
      </c>
      <c r="AE88">
        <v>1</v>
      </c>
      <c r="AF88">
        <v>1</v>
      </c>
      <c r="AG88">
        <v>0</v>
      </c>
      <c r="AH88">
        <v>14</v>
      </c>
      <c r="AI88" s="1">
        <v>4</v>
      </c>
    </row>
    <row r="89" spans="1:35">
      <c r="A89" s="9">
        <v>1614337</v>
      </c>
      <c r="B89">
        <v>1</v>
      </c>
      <c r="C89">
        <v>3</v>
      </c>
      <c r="D89">
        <v>1500</v>
      </c>
      <c r="E89">
        <v>1410</v>
      </c>
      <c r="F89">
        <v>2015</v>
      </c>
      <c r="G89">
        <v>8</v>
      </c>
      <c r="H89">
        <v>1.574964</v>
      </c>
      <c r="I89">
        <v>32000000000</v>
      </c>
      <c r="J89">
        <v>30000000000</v>
      </c>
      <c r="K89">
        <v>76</v>
      </c>
      <c r="L89">
        <v>1500</v>
      </c>
      <c r="M89">
        <v>1350</v>
      </c>
      <c r="N89">
        <v>300000000</v>
      </c>
      <c r="O89">
        <v>21000000000</v>
      </c>
      <c r="P89">
        <v>55000000000</v>
      </c>
      <c r="Q89">
        <v>30</v>
      </c>
      <c r="R89">
        <v>1</v>
      </c>
      <c r="S89">
        <v>1</v>
      </c>
      <c r="T89">
        <v>2</v>
      </c>
      <c r="U89">
        <v>40</v>
      </c>
      <c r="V89">
        <v>20</v>
      </c>
      <c r="W89">
        <v>10</v>
      </c>
      <c r="X89">
        <v>2</v>
      </c>
      <c r="Z89">
        <v>1</v>
      </c>
      <c r="AA89">
        <v>2</v>
      </c>
      <c r="AB89">
        <v>1</v>
      </c>
      <c r="AC89">
        <v>5</v>
      </c>
      <c r="AD89">
        <v>4</v>
      </c>
      <c r="AE89">
        <v>3</v>
      </c>
      <c r="AF89">
        <v>1</v>
      </c>
      <c r="AG89">
        <v>0</v>
      </c>
      <c r="AH89">
        <v>8</v>
      </c>
      <c r="AI89" s="1">
        <v>4</v>
      </c>
    </row>
    <row r="90" spans="1:35">
      <c r="A90" s="9">
        <v>1614340</v>
      </c>
      <c r="B90">
        <v>3</v>
      </c>
      <c r="C90">
        <v>2</v>
      </c>
      <c r="D90">
        <v>40</v>
      </c>
      <c r="E90">
        <v>1079</v>
      </c>
      <c r="F90">
        <v>1988</v>
      </c>
      <c r="G90">
        <v>39</v>
      </c>
      <c r="H90">
        <v>1.6103765000000001</v>
      </c>
      <c r="I90">
        <v>120000000</v>
      </c>
      <c r="J90">
        <v>90000000</v>
      </c>
      <c r="K90">
        <v>60</v>
      </c>
      <c r="L90">
        <v>30</v>
      </c>
      <c r="M90">
        <v>25</v>
      </c>
      <c r="N90">
        <v>36000000</v>
      </c>
      <c r="O90">
        <v>31000000</v>
      </c>
      <c r="P90">
        <v>200000000</v>
      </c>
      <c r="Q90">
        <v>0</v>
      </c>
      <c r="R90">
        <v>1</v>
      </c>
      <c r="S90">
        <v>2</v>
      </c>
      <c r="T90">
        <v>2</v>
      </c>
      <c r="U90">
        <v>80</v>
      </c>
      <c r="V90">
        <v>20</v>
      </c>
      <c r="W90">
        <v>0</v>
      </c>
      <c r="X90">
        <v>1</v>
      </c>
      <c r="Y90">
        <v>20000000</v>
      </c>
      <c r="Z90">
        <v>1</v>
      </c>
      <c r="AA90">
        <v>2</v>
      </c>
      <c r="AB90">
        <v>1</v>
      </c>
      <c r="AC90">
        <v>4</v>
      </c>
      <c r="AD90">
        <v>4</v>
      </c>
      <c r="AE90">
        <v>3</v>
      </c>
      <c r="AF90">
        <v>1</v>
      </c>
      <c r="AG90">
        <v>3</v>
      </c>
      <c r="AH90">
        <v>12</v>
      </c>
      <c r="AI90" s="1">
        <v>1</v>
      </c>
    </row>
    <row r="91" spans="1:35">
      <c r="A91" s="9">
        <v>1614341</v>
      </c>
      <c r="B91">
        <v>1</v>
      </c>
      <c r="C91">
        <v>3</v>
      </c>
      <c r="D91">
        <v>43</v>
      </c>
      <c r="E91">
        <v>2220</v>
      </c>
      <c r="F91">
        <v>1997</v>
      </c>
      <c r="G91">
        <v>27</v>
      </c>
      <c r="H91">
        <v>1.574964</v>
      </c>
      <c r="I91">
        <v>650000000</v>
      </c>
      <c r="J91">
        <v>450000000</v>
      </c>
      <c r="K91">
        <v>95</v>
      </c>
      <c r="L91">
        <v>35</v>
      </c>
      <c r="M91">
        <v>20</v>
      </c>
      <c r="N91">
        <v>25000000</v>
      </c>
      <c r="O91">
        <v>300000000</v>
      </c>
      <c r="P91">
        <v>180000000</v>
      </c>
      <c r="Q91">
        <v>20</v>
      </c>
      <c r="R91">
        <v>1</v>
      </c>
      <c r="S91">
        <v>2</v>
      </c>
      <c r="T91">
        <v>1</v>
      </c>
      <c r="U91">
        <v>60</v>
      </c>
      <c r="V91">
        <v>40</v>
      </c>
      <c r="W91">
        <v>0</v>
      </c>
      <c r="X91">
        <v>1</v>
      </c>
      <c r="Y91">
        <v>180000000</v>
      </c>
      <c r="Z91">
        <v>1</v>
      </c>
      <c r="AA91">
        <v>2</v>
      </c>
      <c r="AB91">
        <v>1</v>
      </c>
      <c r="AC91">
        <v>9</v>
      </c>
      <c r="AD91">
        <v>0</v>
      </c>
      <c r="AE91">
        <v>0</v>
      </c>
      <c r="AF91">
        <v>0</v>
      </c>
      <c r="AG91">
        <v>2</v>
      </c>
      <c r="AH91">
        <v>13</v>
      </c>
      <c r="AI91" s="1">
        <v>1</v>
      </c>
    </row>
    <row r="92" spans="1:35">
      <c r="A92" s="9">
        <v>1614342</v>
      </c>
      <c r="B92">
        <v>2</v>
      </c>
      <c r="C92">
        <v>2</v>
      </c>
      <c r="D92">
        <v>150</v>
      </c>
      <c r="E92">
        <v>1030</v>
      </c>
      <c r="F92">
        <v>2008</v>
      </c>
      <c r="G92">
        <v>17</v>
      </c>
      <c r="H92">
        <v>2.6198342000000001</v>
      </c>
      <c r="I92">
        <v>36000000000</v>
      </c>
      <c r="J92">
        <v>35000000000</v>
      </c>
      <c r="K92">
        <v>80</v>
      </c>
      <c r="L92">
        <v>45</v>
      </c>
      <c r="M92">
        <v>45</v>
      </c>
      <c r="N92">
        <v>900000000</v>
      </c>
      <c r="O92">
        <v>-9</v>
      </c>
      <c r="P92">
        <v>-9</v>
      </c>
      <c r="Q92">
        <v>0</v>
      </c>
      <c r="R92">
        <v>1</v>
      </c>
      <c r="S92">
        <v>1</v>
      </c>
      <c r="T92">
        <v>2</v>
      </c>
      <c r="U92">
        <v>-9</v>
      </c>
      <c r="V92">
        <v>-9</v>
      </c>
      <c r="W92">
        <v>-9</v>
      </c>
      <c r="X92">
        <v>2</v>
      </c>
      <c r="Z92">
        <v>1</v>
      </c>
      <c r="AA92">
        <v>2</v>
      </c>
      <c r="AB92">
        <v>1</v>
      </c>
      <c r="AC92">
        <v>-9</v>
      </c>
      <c r="AD92">
        <v>0</v>
      </c>
      <c r="AE92">
        <v>-9</v>
      </c>
      <c r="AF92">
        <v>1</v>
      </c>
      <c r="AG92">
        <v>-7</v>
      </c>
      <c r="AH92">
        <v>8</v>
      </c>
      <c r="AI92" s="1">
        <v>4</v>
      </c>
    </row>
    <row r="93" spans="1:35">
      <c r="A93" s="9">
        <v>1614344</v>
      </c>
      <c r="B93">
        <v>1</v>
      </c>
      <c r="C93">
        <v>2</v>
      </c>
      <c r="D93">
        <v>15</v>
      </c>
      <c r="E93">
        <v>1080</v>
      </c>
      <c r="F93">
        <v>2013</v>
      </c>
      <c r="G93">
        <v>20</v>
      </c>
      <c r="H93">
        <v>23.458492</v>
      </c>
      <c r="I93">
        <v>80000000</v>
      </c>
      <c r="J93">
        <v>65000000</v>
      </c>
      <c r="K93">
        <v>75</v>
      </c>
      <c r="L93">
        <v>15</v>
      </c>
      <c r="M93">
        <v>5</v>
      </c>
      <c r="N93">
        <v>25000000</v>
      </c>
      <c r="O93">
        <v>40000000</v>
      </c>
      <c r="P93">
        <v>200000000</v>
      </c>
      <c r="Q93">
        <v>0</v>
      </c>
      <c r="S93">
        <v>2</v>
      </c>
      <c r="T93">
        <v>2</v>
      </c>
      <c r="U93">
        <v>70</v>
      </c>
      <c r="V93">
        <v>0</v>
      </c>
      <c r="W93">
        <v>30</v>
      </c>
      <c r="X93">
        <v>2</v>
      </c>
      <c r="Z93">
        <v>2</v>
      </c>
      <c r="AA93">
        <v>2</v>
      </c>
      <c r="AB93">
        <v>1</v>
      </c>
      <c r="AC93">
        <v>3</v>
      </c>
      <c r="AD93">
        <v>1</v>
      </c>
      <c r="AE93">
        <v>0</v>
      </c>
      <c r="AF93">
        <v>0</v>
      </c>
      <c r="AG93">
        <v>1</v>
      </c>
      <c r="AH93">
        <v>14</v>
      </c>
      <c r="AI93" s="1">
        <v>4</v>
      </c>
    </row>
    <row r="94" spans="1:35">
      <c r="A94" s="9">
        <v>1614346</v>
      </c>
      <c r="B94">
        <v>2</v>
      </c>
      <c r="C94">
        <v>3</v>
      </c>
      <c r="D94">
        <v>520</v>
      </c>
      <c r="E94">
        <v>1079</v>
      </c>
      <c r="F94">
        <v>1969</v>
      </c>
      <c r="G94">
        <v>15</v>
      </c>
      <c r="H94">
        <v>1.3089461</v>
      </c>
      <c r="I94">
        <v>9400000000</v>
      </c>
      <c r="J94">
        <v>21000000000</v>
      </c>
      <c r="K94">
        <v>100</v>
      </c>
      <c r="L94">
        <v>266</v>
      </c>
      <c r="M94">
        <v>316</v>
      </c>
      <c r="N94">
        <v>750000000</v>
      </c>
      <c r="O94">
        <v>2600000000</v>
      </c>
      <c r="P94">
        <v>15000000000</v>
      </c>
      <c r="Q94">
        <v>90</v>
      </c>
      <c r="R94">
        <v>1</v>
      </c>
      <c r="S94">
        <v>2</v>
      </c>
      <c r="T94">
        <v>2</v>
      </c>
      <c r="U94">
        <v>70</v>
      </c>
      <c r="V94">
        <v>0</v>
      </c>
      <c r="W94">
        <v>30</v>
      </c>
      <c r="X94">
        <v>2</v>
      </c>
      <c r="Z94">
        <v>1</v>
      </c>
      <c r="AA94">
        <v>2</v>
      </c>
      <c r="AB94">
        <v>1</v>
      </c>
      <c r="AC94">
        <v>8</v>
      </c>
      <c r="AD94">
        <v>4</v>
      </c>
      <c r="AE94">
        <v>3</v>
      </c>
      <c r="AF94">
        <v>1</v>
      </c>
      <c r="AG94">
        <v>-7</v>
      </c>
      <c r="AH94">
        <v>8</v>
      </c>
      <c r="AI94" s="1">
        <v>1</v>
      </c>
    </row>
    <row r="95" spans="1:35">
      <c r="A95" s="9">
        <v>1614348</v>
      </c>
      <c r="B95">
        <v>2</v>
      </c>
      <c r="C95">
        <v>3</v>
      </c>
      <c r="D95">
        <v>300</v>
      </c>
      <c r="E95">
        <v>1050</v>
      </c>
      <c r="F95">
        <v>2014</v>
      </c>
      <c r="G95">
        <v>26</v>
      </c>
      <c r="H95">
        <v>1.2616860000000001</v>
      </c>
      <c r="I95">
        <v>82800000000</v>
      </c>
      <c r="J95">
        <v>-9</v>
      </c>
      <c r="K95">
        <v>25</v>
      </c>
      <c r="L95">
        <v>20</v>
      </c>
      <c r="M95">
        <v>20</v>
      </c>
      <c r="N95">
        <v>-9</v>
      </c>
      <c r="O95">
        <v>46800000000</v>
      </c>
      <c r="P95">
        <v>50000000000</v>
      </c>
      <c r="Q95">
        <v>20</v>
      </c>
      <c r="R95">
        <v>1</v>
      </c>
      <c r="S95">
        <v>2</v>
      </c>
      <c r="T95">
        <v>1</v>
      </c>
      <c r="U95">
        <v>100</v>
      </c>
      <c r="V95">
        <v>0</v>
      </c>
      <c r="W95">
        <v>0</v>
      </c>
      <c r="X95">
        <v>1</v>
      </c>
      <c r="Y95">
        <v>0</v>
      </c>
      <c r="Z95">
        <v>2</v>
      </c>
      <c r="AA95">
        <v>2</v>
      </c>
      <c r="AB95">
        <v>1</v>
      </c>
      <c r="AC95">
        <v>4</v>
      </c>
      <c r="AD95">
        <v>1</v>
      </c>
      <c r="AE95">
        <v>1</v>
      </c>
      <c r="AF95">
        <v>2</v>
      </c>
      <c r="AG95">
        <v>-7</v>
      </c>
      <c r="AH95">
        <v>14</v>
      </c>
      <c r="AI95" s="1">
        <v>2</v>
      </c>
    </row>
    <row r="96" spans="1:35">
      <c r="A96" s="9">
        <v>1614349</v>
      </c>
      <c r="B96">
        <v>3</v>
      </c>
      <c r="C96">
        <v>1</v>
      </c>
      <c r="D96">
        <v>15</v>
      </c>
      <c r="E96">
        <v>1629</v>
      </c>
      <c r="F96">
        <v>2017</v>
      </c>
      <c r="G96">
        <v>17</v>
      </c>
      <c r="H96">
        <v>68.513819999999996</v>
      </c>
      <c r="I96">
        <v>6000000</v>
      </c>
      <c r="J96">
        <v>2000000</v>
      </c>
      <c r="K96">
        <v>40</v>
      </c>
      <c r="L96">
        <v>15</v>
      </c>
      <c r="M96">
        <v>9</v>
      </c>
      <c r="N96">
        <v>3000000</v>
      </c>
      <c r="O96">
        <v>4000000</v>
      </c>
      <c r="P96">
        <v>28000000</v>
      </c>
      <c r="Q96">
        <v>0</v>
      </c>
      <c r="S96">
        <v>2</v>
      </c>
      <c r="T96">
        <v>1</v>
      </c>
      <c r="U96">
        <v>100</v>
      </c>
      <c r="V96">
        <v>0</v>
      </c>
      <c r="W96">
        <v>0</v>
      </c>
      <c r="X96">
        <v>2</v>
      </c>
      <c r="Z96">
        <v>2</v>
      </c>
      <c r="AA96">
        <v>2</v>
      </c>
      <c r="AB96">
        <v>1</v>
      </c>
      <c r="AC96">
        <v>10</v>
      </c>
      <c r="AD96">
        <v>3</v>
      </c>
      <c r="AE96">
        <v>2</v>
      </c>
      <c r="AF96">
        <v>0</v>
      </c>
      <c r="AG96">
        <v>4</v>
      </c>
      <c r="AH96">
        <v>8</v>
      </c>
      <c r="AI96" s="1">
        <v>4</v>
      </c>
    </row>
    <row r="97" spans="1:35">
      <c r="A97" s="9">
        <v>1614352</v>
      </c>
      <c r="B97">
        <v>2</v>
      </c>
      <c r="C97">
        <v>2</v>
      </c>
      <c r="D97">
        <v>7</v>
      </c>
      <c r="E97">
        <v>2511</v>
      </c>
      <c r="F97">
        <v>2013</v>
      </c>
      <c r="G97">
        <v>12</v>
      </c>
      <c r="H97">
        <v>2.6198342000000001</v>
      </c>
      <c r="I97">
        <v>575000000</v>
      </c>
      <c r="J97">
        <v>300000000</v>
      </c>
      <c r="K97">
        <v>90</v>
      </c>
      <c r="L97">
        <v>9</v>
      </c>
      <c r="M97">
        <v>9</v>
      </c>
      <c r="N97">
        <v>42000000</v>
      </c>
      <c r="O97">
        <v>45000000</v>
      </c>
      <c r="P97">
        <v>30000000</v>
      </c>
      <c r="Q97">
        <v>0</v>
      </c>
      <c r="S97">
        <v>1</v>
      </c>
      <c r="T97">
        <v>2</v>
      </c>
      <c r="U97">
        <v>70</v>
      </c>
      <c r="V97">
        <v>0</v>
      </c>
      <c r="W97">
        <v>0</v>
      </c>
      <c r="X97">
        <v>2</v>
      </c>
      <c r="Z97">
        <v>2</v>
      </c>
      <c r="AA97">
        <v>2</v>
      </c>
      <c r="AB97">
        <v>1</v>
      </c>
      <c r="AC97">
        <v>3</v>
      </c>
      <c r="AD97">
        <v>4</v>
      </c>
      <c r="AE97">
        <v>4</v>
      </c>
      <c r="AF97">
        <v>2</v>
      </c>
      <c r="AG97">
        <v>3</v>
      </c>
      <c r="AH97">
        <v>8</v>
      </c>
      <c r="AI97" s="1">
        <v>1</v>
      </c>
    </row>
    <row r="98" spans="1:35">
      <c r="A98" s="9">
        <v>1614354</v>
      </c>
      <c r="B98">
        <v>3</v>
      </c>
      <c r="C98">
        <v>2</v>
      </c>
      <c r="D98">
        <v>140</v>
      </c>
      <c r="E98">
        <v>2511</v>
      </c>
      <c r="F98">
        <v>2010</v>
      </c>
      <c r="G98">
        <v>25</v>
      </c>
      <c r="H98">
        <v>1.6637995999999999</v>
      </c>
      <c r="I98">
        <v>900000000</v>
      </c>
      <c r="J98">
        <v>1100000000</v>
      </c>
      <c r="K98">
        <v>60</v>
      </c>
      <c r="L98">
        <v>140</v>
      </c>
      <c r="M98">
        <v>132</v>
      </c>
      <c r="N98">
        <v>300000000</v>
      </c>
      <c r="O98">
        <v>500000000</v>
      </c>
      <c r="P98">
        <v>150000000</v>
      </c>
      <c r="Q98">
        <v>0</v>
      </c>
      <c r="R98">
        <v>1</v>
      </c>
      <c r="S98">
        <v>2</v>
      </c>
      <c r="T98">
        <v>2</v>
      </c>
      <c r="U98">
        <v>98</v>
      </c>
      <c r="V98">
        <v>0</v>
      </c>
      <c r="W98">
        <v>2</v>
      </c>
      <c r="X98">
        <v>2</v>
      </c>
      <c r="Z98">
        <v>2</v>
      </c>
      <c r="AA98">
        <v>2</v>
      </c>
      <c r="AB98">
        <v>1</v>
      </c>
      <c r="AC98">
        <v>8</v>
      </c>
      <c r="AD98">
        <v>3</v>
      </c>
      <c r="AE98">
        <v>2</v>
      </c>
      <c r="AF98">
        <v>0</v>
      </c>
      <c r="AG98">
        <v>1</v>
      </c>
      <c r="AH98">
        <v>8</v>
      </c>
      <c r="AI98" s="1">
        <v>4</v>
      </c>
    </row>
    <row r="99" spans="1:35">
      <c r="A99" s="9">
        <v>1614355</v>
      </c>
      <c r="B99">
        <v>4</v>
      </c>
      <c r="C99">
        <v>2</v>
      </c>
      <c r="D99">
        <v>15</v>
      </c>
      <c r="E99">
        <v>2599</v>
      </c>
      <c r="F99">
        <v>2013</v>
      </c>
      <c r="G99">
        <v>12</v>
      </c>
      <c r="H99">
        <v>2.6425689999999999</v>
      </c>
      <c r="I99">
        <v>2700000000</v>
      </c>
      <c r="J99">
        <v>1300000000</v>
      </c>
      <c r="K99">
        <v>60</v>
      </c>
      <c r="L99">
        <v>15</v>
      </c>
      <c r="M99">
        <v>15</v>
      </c>
      <c r="N99">
        <v>500000000</v>
      </c>
      <c r="O99">
        <v>800000000</v>
      </c>
      <c r="P99">
        <v>3000000000</v>
      </c>
      <c r="Q99">
        <v>0</v>
      </c>
      <c r="S99">
        <v>2</v>
      </c>
      <c r="T99">
        <v>2</v>
      </c>
      <c r="U99">
        <v>95</v>
      </c>
      <c r="V99">
        <v>0</v>
      </c>
      <c r="W99">
        <v>0</v>
      </c>
      <c r="X99">
        <v>2</v>
      </c>
      <c r="Z99">
        <v>2</v>
      </c>
      <c r="AA99">
        <v>2</v>
      </c>
      <c r="AB99">
        <v>2</v>
      </c>
      <c r="AD99">
        <v>2</v>
      </c>
      <c r="AE99">
        <v>0</v>
      </c>
      <c r="AF99">
        <v>0</v>
      </c>
      <c r="AG99">
        <v>0</v>
      </c>
      <c r="AH99">
        <v>8</v>
      </c>
      <c r="AI99" s="1">
        <v>4</v>
      </c>
    </row>
    <row r="100" spans="1:35">
      <c r="A100" s="9">
        <v>1614359</v>
      </c>
      <c r="B100">
        <v>1</v>
      </c>
      <c r="C100">
        <v>2</v>
      </c>
      <c r="D100">
        <v>500</v>
      </c>
      <c r="E100">
        <v>1072</v>
      </c>
      <c r="F100">
        <v>2012</v>
      </c>
      <c r="G100">
        <v>20</v>
      </c>
      <c r="H100">
        <v>23.458492</v>
      </c>
      <c r="I100">
        <v>1200000000</v>
      </c>
      <c r="J100">
        <v>950000000</v>
      </c>
      <c r="K100">
        <v>35</v>
      </c>
      <c r="L100">
        <v>205</v>
      </c>
      <c r="M100">
        <v>200</v>
      </c>
      <c r="N100">
        <v>300000000</v>
      </c>
      <c r="O100">
        <v>100000000</v>
      </c>
      <c r="P100">
        <v>-9</v>
      </c>
      <c r="Q100">
        <v>0</v>
      </c>
      <c r="R100">
        <v>1</v>
      </c>
      <c r="S100">
        <v>1</v>
      </c>
      <c r="T100">
        <v>2</v>
      </c>
      <c r="U100">
        <v>90</v>
      </c>
      <c r="V100">
        <v>5</v>
      </c>
      <c r="W100">
        <v>0</v>
      </c>
      <c r="X100">
        <v>2</v>
      </c>
      <c r="Z100">
        <v>2</v>
      </c>
      <c r="AA100">
        <v>2</v>
      </c>
      <c r="AB100">
        <v>1</v>
      </c>
      <c r="AC100">
        <v>5</v>
      </c>
      <c r="AD100">
        <v>2</v>
      </c>
      <c r="AE100">
        <v>3</v>
      </c>
      <c r="AF100">
        <v>1</v>
      </c>
      <c r="AG100">
        <v>1</v>
      </c>
      <c r="AH100">
        <v>1</v>
      </c>
      <c r="AI100" s="1">
        <v>4</v>
      </c>
    </row>
    <row r="101" spans="1:35">
      <c r="A101" s="9">
        <v>1614361</v>
      </c>
      <c r="B101">
        <v>4</v>
      </c>
      <c r="C101">
        <v>3</v>
      </c>
      <c r="D101">
        <v>450</v>
      </c>
      <c r="E101">
        <v>1040</v>
      </c>
      <c r="F101">
        <v>2008</v>
      </c>
      <c r="G101">
        <v>15</v>
      </c>
      <c r="H101">
        <v>1</v>
      </c>
      <c r="I101">
        <v>150000000000</v>
      </c>
      <c r="J101">
        <v>120000000000</v>
      </c>
      <c r="K101">
        <v>100</v>
      </c>
      <c r="L101">
        <v>400</v>
      </c>
      <c r="M101">
        <v>300</v>
      </c>
      <c r="N101">
        <v>4300000000</v>
      </c>
      <c r="O101">
        <v>10000000000</v>
      </c>
      <c r="P101">
        <v>15000000000</v>
      </c>
      <c r="Q101">
        <v>15</v>
      </c>
      <c r="R101">
        <v>1</v>
      </c>
      <c r="S101">
        <v>1</v>
      </c>
      <c r="T101">
        <v>2</v>
      </c>
      <c r="U101">
        <v>10</v>
      </c>
      <c r="V101">
        <v>60</v>
      </c>
      <c r="W101">
        <v>30</v>
      </c>
      <c r="X101">
        <v>2</v>
      </c>
      <c r="Z101">
        <v>1</v>
      </c>
      <c r="AA101">
        <v>1</v>
      </c>
      <c r="AB101">
        <v>1</v>
      </c>
      <c r="AC101">
        <v>4</v>
      </c>
      <c r="AD101">
        <v>2</v>
      </c>
      <c r="AE101">
        <v>1</v>
      </c>
      <c r="AF101">
        <v>1</v>
      </c>
      <c r="AG101">
        <v>3</v>
      </c>
      <c r="AH101">
        <v>2</v>
      </c>
      <c r="AI101" s="1">
        <v>4</v>
      </c>
    </row>
    <row r="102" spans="1:35">
      <c r="A102" s="9">
        <v>1614365</v>
      </c>
      <c r="B102">
        <v>1</v>
      </c>
      <c r="C102">
        <v>3</v>
      </c>
      <c r="D102">
        <v>272</v>
      </c>
      <c r="E102">
        <v>1811</v>
      </c>
      <c r="F102">
        <v>1986</v>
      </c>
      <c r="G102">
        <v>18</v>
      </c>
      <c r="H102">
        <v>2.0788313999999999</v>
      </c>
      <c r="I102">
        <v>100000000000</v>
      </c>
      <c r="J102">
        <v>95000000000</v>
      </c>
      <c r="K102">
        <v>100</v>
      </c>
      <c r="L102">
        <v>222</v>
      </c>
      <c r="M102">
        <v>230</v>
      </c>
      <c r="N102">
        <v>9466088000</v>
      </c>
      <c r="O102">
        <v>13462091000</v>
      </c>
      <c r="P102">
        <v>23246174000</v>
      </c>
      <c r="Q102">
        <v>0</v>
      </c>
      <c r="R102">
        <v>1</v>
      </c>
      <c r="S102">
        <v>1</v>
      </c>
      <c r="T102">
        <v>1</v>
      </c>
      <c r="U102">
        <v>93</v>
      </c>
      <c r="V102">
        <v>7</v>
      </c>
      <c r="W102">
        <v>0</v>
      </c>
      <c r="X102">
        <v>2</v>
      </c>
      <c r="Z102">
        <v>2</v>
      </c>
      <c r="AA102">
        <v>1</v>
      </c>
      <c r="AB102">
        <v>1</v>
      </c>
      <c r="AC102">
        <v>2</v>
      </c>
      <c r="AD102">
        <v>0</v>
      </c>
      <c r="AE102">
        <v>0</v>
      </c>
      <c r="AF102">
        <v>0</v>
      </c>
      <c r="AG102">
        <v>1</v>
      </c>
      <c r="AH102">
        <v>12</v>
      </c>
      <c r="AI102" s="1">
        <v>1</v>
      </c>
    </row>
    <row r="103" spans="1:35">
      <c r="A103" s="9">
        <v>1614370</v>
      </c>
      <c r="B103">
        <v>4</v>
      </c>
      <c r="C103">
        <v>1</v>
      </c>
      <c r="D103">
        <v>17</v>
      </c>
      <c r="E103">
        <v>2511</v>
      </c>
      <c r="F103">
        <v>2019</v>
      </c>
      <c r="G103">
        <v>7</v>
      </c>
      <c r="H103">
        <v>18.668731999999999</v>
      </c>
      <c r="I103">
        <v>280000000</v>
      </c>
      <c r="J103">
        <v>270000000</v>
      </c>
      <c r="K103">
        <v>50</v>
      </c>
      <c r="L103">
        <v>17</v>
      </c>
      <c r="M103">
        <v>17</v>
      </c>
      <c r="N103">
        <v>58000000</v>
      </c>
      <c r="O103">
        <v>85000000</v>
      </c>
      <c r="P103">
        <v>1000000000</v>
      </c>
      <c r="Q103">
        <v>0</v>
      </c>
      <c r="S103">
        <v>2</v>
      </c>
      <c r="T103">
        <v>2</v>
      </c>
      <c r="U103">
        <v>100</v>
      </c>
      <c r="V103">
        <v>0</v>
      </c>
      <c r="W103">
        <v>0</v>
      </c>
      <c r="X103">
        <v>2</v>
      </c>
      <c r="Z103">
        <v>2</v>
      </c>
      <c r="AA103">
        <v>2</v>
      </c>
      <c r="AB103">
        <v>2</v>
      </c>
      <c r="AD103">
        <v>0</v>
      </c>
      <c r="AE103">
        <v>0</v>
      </c>
      <c r="AF103">
        <v>0</v>
      </c>
      <c r="AG103">
        <v>0</v>
      </c>
      <c r="AH103">
        <v>14</v>
      </c>
      <c r="AI103" s="1">
        <v>4</v>
      </c>
    </row>
    <row r="104" spans="1:35">
      <c r="A104" s="9">
        <v>1614372</v>
      </c>
      <c r="B104">
        <v>1</v>
      </c>
      <c r="C104">
        <v>3</v>
      </c>
      <c r="D104">
        <v>200</v>
      </c>
      <c r="E104">
        <v>2220</v>
      </c>
      <c r="F104">
        <v>1996</v>
      </c>
      <c r="G104">
        <v>15</v>
      </c>
      <c r="H104">
        <v>1.574964</v>
      </c>
      <c r="I104">
        <v>9600000000</v>
      </c>
      <c r="J104">
        <v>8000000000</v>
      </c>
      <c r="K104">
        <v>-9</v>
      </c>
      <c r="L104">
        <v>200</v>
      </c>
      <c r="M104">
        <v>150</v>
      </c>
      <c r="N104">
        <v>500000000</v>
      </c>
      <c r="O104">
        <v>250000000</v>
      </c>
      <c r="P104">
        <v>1000000000</v>
      </c>
      <c r="Q104">
        <v>10</v>
      </c>
      <c r="R104">
        <v>2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2</v>
      </c>
      <c r="Z104">
        <v>2</v>
      </c>
      <c r="AA104">
        <v>2</v>
      </c>
      <c r="AB104">
        <v>2</v>
      </c>
      <c r="AD104">
        <v>1</v>
      </c>
      <c r="AE104">
        <v>0</v>
      </c>
      <c r="AF104">
        <v>0</v>
      </c>
      <c r="AG104">
        <v>0</v>
      </c>
      <c r="AH104">
        <v>-9</v>
      </c>
      <c r="AI104" s="1">
        <v>2</v>
      </c>
    </row>
    <row r="105" spans="1:35">
      <c r="A105" s="9">
        <v>1614373</v>
      </c>
      <c r="B105">
        <v>3</v>
      </c>
      <c r="C105">
        <v>3</v>
      </c>
      <c r="D105">
        <v>28</v>
      </c>
      <c r="E105">
        <v>1079</v>
      </c>
      <c r="F105">
        <v>1997</v>
      </c>
      <c r="G105">
        <v>35</v>
      </c>
      <c r="H105">
        <v>1</v>
      </c>
      <c r="I105">
        <v>10000000000</v>
      </c>
      <c r="J105">
        <v>8500000000</v>
      </c>
      <c r="K105">
        <v>20</v>
      </c>
      <c r="L105">
        <v>28</v>
      </c>
      <c r="M105">
        <v>14</v>
      </c>
      <c r="N105">
        <v>500000000</v>
      </c>
      <c r="O105">
        <v>3000000000</v>
      </c>
      <c r="P105">
        <v>1550000000</v>
      </c>
      <c r="Q105">
        <v>100</v>
      </c>
      <c r="R105">
        <v>1</v>
      </c>
      <c r="S105">
        <v>2</v>
      </c>
      <c r="T105">
        <v>2</v>
      </c>
      <c r="U105">
        <v>60</v>
      </c>
      <c r="V105">
        <v>0</v>
      </c>
      <c r="W105">
        <v>0</v>
      </c>
      <c r="X105">
        <v>1</v>
      </c>
      <c r="Y105">
        <v>1000000000</v>
      </c>
      <c r="Z105">
        <v>2</v>
      </c>
      <c r="AA105">
        <v>2</v>
      </c>
      <c r="AB105">
        <v>1</v>
      </c>
      <c r="AC105">
        <v>8</v>
      </c>
      <c r="AD105">
        <v>1</v>
      </c>
      <c r="AE105">
        <v>0</v>
      </c>
      <c r="AF105">
        <v>0</v>
      </c>
      <c r="AG105">
        <v>0</v>
      </c>
      <c r="AH105">
        <v>7</v>
      </c>
      <c r="AI105" s="1">
        <v>4</v>
      </c>
    </row>
    <row r="106" spans="1:35">
      <c r="A106" s="9">
        <v>1614376</v>
      </c>
      <c r="B106">
        <v>4</v>
      </c>
      <c r="C106">
        <v>3</v>
      </c>
      <c r="D106">
        <v>15</v>
      </c>
      <c r="E106">
        <v>1061</v>
      </c>
      <c r="F106">
        <v>2009</v>
      </c>
      <c r="G106">
        <v>13</v>
      </c>
      <c r="H106">
        <v>1</v>
      </c>
      <c r="I106">
        <v>450000000</v>
      </c>
      <c r="J106">
        <v>450000000</v>
      </c>
      <c r="K106">
        <v>45</v>
      </c>
      <c r="L106">
        <v>15</v>
      </c>
      <c r="M106">
        <v>10</v>
      </c>
      <c r="N106">
        <v>45000000</v>
      </c>
      <c r="O106">
        <v>50000000</v>
      </c>
      <c r="P106">
        <v>1000000000</v>
      </c>
      <c r="Q106">
        <v>0</v>
      </c>
      <c r="S106">
        <v>2</v>
      </c>
      <c r="T106">
        <v>2</v>
      </c>
      <c r="U106">
        <v>100</v>
      </c>
      <c r="V106">
        <v>0</v>
      </c>
      <c r="W106">
        <v>0</v>
      </c>
      <c r="X106">
        <v>2</v>
      </c>
      <c r="Z106">
        <v>2</v>
      </c>
      <c r="AA106">
        <v>2</v>
      </c>
      <c r="AB106">
        <v>2</v>
      </c>
      <c r="AD106">
        <v>1</v>
      </c>
      <c r="AE106">
        <v>0</v>
      </c>
      <c r="AF106">
        <v>0</v>
      </c>
      <c r="AG106">
        <v>1</v>
      </c>
      <c r="AH106">
        <v>14</v>
      </c>
      <c r="AI106" s="1">
        <v>2</v>
      </c>
    </row>
    <row r="107" spans="1:35">
      <c r="A107" s="9">
        <v>1614377</v>
      </c>
      <c r="B107">
        <v>3</v>
      </c>
      <c r="C107">
        <v>1</v>
      </c>
      <c r="D107">
        <v>18</v>
      </c>
      <c r="E107">
        <v>1061</v>
      </c>
      <c r="F107">
        <v>2010</v>
      </c>
      <c r="G107">
        <v>15</v>
      </c>
      <c r="H107">
        <v>7.8952764999999996</v>
      </c>
      <c r="I107">
        <v>100000000</v>
      </c>
      <c r="J107">
        <v>70000000</v>
      </c>
      <c r="K107">
        <v>90</v>
      </c>
      <c r="L107">
        <v>6</v>
      </c>
      <c r="M107">
        <v>6</v>
      </c>
      <c r="N107">
        <v>24000000</v>
      </c>
      <c r="O107">
        <v>31000000</v>
      </c>
      <c r="P107">
        <v>120000000</v>
      </c>
      <c r="Q107">
        <v>0</v>
      </c>
      <c r="S107">
        <v>2</v>
      </c>
      <c r="T107">
        <v>2</v>
      </c>
      <c r="U107">
        <v>60</v>
      </c>
      <c r="V107">
        <v>20</v>
      </c>
      <c r="W107">
        <v>0</v>
      </c>
      <c r="X107">
        <v>2</v>
      </c>
      <c r="Z107">
        <v>1</v>
      </c>
      <c r="AA107">
        <v>1</v>
      </c>
      <c r="AB107">
        <v>2</v>
      </c>
      <c r="AD107">
        <v>3</v>
      </c>
      <c r="AE107">
        <v>4</v>
      </c>
      <c r="AF107">
        <v>3</v>
      </c>
      <c r="AG107">
        <v>3</v>
      </c>
      <c r="AH107">
        <v>4</v>
      </c>
      <c r="AI107" s="1">
        <v>1</v>
      </c>
    </row>
    <row r="108" spans="1:35">
      <c r="A108" s="9">
        <v>1614381</v>
      </c>
      <c r="B108">
        <v>2</v>
      </c>
      <c r="C108">
        <v>2</v>
      </c>
      <c r="D108">
        <v>5</v>
      </c>
      <c r="E108">
        <v>2511</v>
      </c>
      <c r="F108">
        <v>2017</v>
      </c>
      <c r="G108">
        <v>10</v>
      </c>
      <c r="H108">
        <v>2.6198342000000001</v>
      </c>
      <c r="I108">
        <v>40000000</v>
      </c>
      <c r="J108">
        <v>10000000</v>
      </c>
      <c r="K108">
        <v>4</v>
      </c>
      <c r="L108">
        <v>5</v>
      </c>
      <c r="M108">
        <v>2</v>
      </c>
      <c r="N108">
        <v>5000000</v>
      </c>
      <c r="O108">
        <v>20000000</v>
      </c>
      <c r="P108">
        <v>8000000</v>
      </c>
      <c r="Q108">
        <v>0</v>
      </c>
      <c r="S108">
        <v>2</v>
      </c>
      <c r="T108">
        <v>2</v>
      </c>
      <c r="U108">
        <v>40</v>
      </c>
      <c r="V108">
        <v>0</v>
      </c>
      <c r="W108">
        <v>10</v>
      </c>
      <c r="X108">
        <v>1</v>
      </c>
      <c r="Y108">
        <v>1500000</v>
      </c>
      <c r="Z108">
        <v>2</v>
      </c>
      <c r="AA108">
        <v>2</v>
      </c>
      <c r="AB108">
        <v>1</v>
      </c>
      <c r="AC108">
        <v>4</v>
      </c>
      <c r="AD108">
        <v>3</v>
      </c>
      <c r="AE108">
        <v>3</v>
      </c>
      <c r="AF108">
        <v>1</v>
      </c>
      <c r="AG108">
        <v>1</v>
      </c>
      <c r="AH108">
        <v>8</v>
      </c>
      <c r="AI108" s="1">
        <v>2</v>
      </c>
    </row>
    <row r="109" spans="1:35">
      <c r="A109" s="9">
        <v>1614384</v>
      </c>
      <c r="B109">
        <v>2</v>
      </c>
      <c r="C109">
        <v>2</v>
      </c>
      <c r="D109">
        <v>5</v>
      </c>
      <c r="E109">
        <v>3100</v>
      </c>
      <c r="F109">
        <v>2018</v>
      </c>
      <c r="G109">
        <v>10</v>
      </c>
      <c r="H109">
        <v>2.6198342000000001</v>
      </c>
      <c r="I109">
        <v>13000000</v>
      </c>
      <c r="J109">
        <v>-9</v>
      </c>
      <c r="K109">
        <v>56</v>
      </c>
      <c r="L109">
        <v>5</v>
      </c>
      <c r="M109">
        <v>3</v>
      </c>
      <c r="N109">
        <v>7200000</v>
      </c>
      <c r="O109">
        <v>-9</v>
      </c>
      <c r="P109">
        <v>500000</v>
      </c>
      <c r="Q109">
        <v>0</v>
      </c>
      <c r="S109">
        <v>2</v>
      </c>
      <c r="T109">
        <v>2</v>
      </c>
      <c r="U109">
        <v>80</v>
      </c>
      <c r="V109">
        <v>0</v>
      </c>
      <c r="W109">
        <v>20</v>
      </c>
      <c r="X109">
        <v>2</v>
      </c>
      <c r="Z109">
        <v>2</v>
      </c>
      <c r="AA109">
        <v>2</v>
      </c>
      <c r="AB109">
        <v>2</v>
      </c>
      <c r="AD109">
        <v>-7</v>
      </c>
      <c r="AE109">
        <v>3</v>
      </c>
      <c r="AF109">
        <v>0</v>
      </c>
      <c r="AG109">
        <v>2</v>
      </c>
      <c r="AH109">
        <v>14</v>
      </c>
      <c r="AI109" s="1">
        <v>2</v>
      </c>
    </row>
    <row r="110" spans="1:35">
      <c r="A110" s="9">
        <v>1614386</v>
      </c>
      <c r="B110">
        <v>4</v>
      </c>
      <c r="C110">
        <v>1</v>
      </c>
      <c r="D110">
        <v>12</v>
      </c>
      <c r="E110">
        <v>1061</v>
      </c>
      <c r="F110">
        <v>2010</v>
      </c>
      <c r="G110">
        <v>17</v>
      </c>
      <c r="H110">
        <v>1.6450883999999999</v>
      </c>
      <c r="I110">
        <v>121000000</v>
      </c>
      <c r="J110">
        <v>97640000</v>
      </c>
      <c r="K110">
        <v>70</v>
      </c>
      <c r="L110">
        <v>8</v>
      </c>
      <c r="M110">
        <v>8</v>
      </c>
      <c r="N110">
        <v>13420000</v>
      </c>
      <c r="O110">
        <v>57900000</v>
      </c>
      <c r="P110">
        <v>545000000</v>
      </c>
      <c r="Q110">
        <v>0</v>
      </c>
      <c r="S110">
        <v>2</v>
      </c>
      <c r="T110">
        <v>2</v>
      </c>
      <c r="U110">
        <v>70</v>
      </c>
      <c r="V110">
        <v>0</v>
      </c>
      <c r="W110">
        <v>20</v>
      </c>
      <c r="X110">
        <v>2</v>
      </c>
      <c r="Z110">
        <v>2</v>
      </c>
      <c r="AA110">
        <v>2</v>
      </c>
      <c r="AB110">
        <v>1</v>
      </c>
      <c r="AC110">
        <v>7</v>
      </c>
      <c r="AD110">
        <v>1</v>
      </c>
      <c r="AE110">
        <v>1</v>
      </c>
      <c r="AF110">
        <v>0</v>
      </c>
      <c r="AG110">
        <v>0</v>
      </c>
      <c r="AH110">
        <v>14</v>
      </c>
      <c r="AI110" s="1">
        <v>2</v>
      </c>
    </row>
    <row r="111" spans="1:35">
      <c r="A111" s="9">
        <v>1614394</v>
      </c>
      <c r="B111">
        <v>1</v>
      </c>
      <c r="C111">
        <v>3</v>
      </c>
      <c r="D111">
        <v>180</v>
      </c>
      <c r="E111">
        <v>2410</v>
      </c>
      <c r="F111">
        <v>1964</v>
      </c>
      <c r="G111">
        <v>30</v>
      </c>
      <c r="H111">
        <v>1.574964</v>
      </c>
      <c r="I111">
        <v>311849205000</v>
      </c>
      <c r="J111">
        <v>297796133000</v>
      </c>
      <c r="K111">
        <v>50</v>
      </c>
      <c r="L111">
        <v>180</v>
      </c>
      <c r="M111">
        <v>150</v>
      </c>
      <c r="N111">
        <v>11370810000</v>
      </c>
      <c r="O111">
        <v>26410481500</v>
      </c>
      <c r="P111">
        <v>70000000000</v>
      </c>
      <c r="Q111">
        <v>5</v>
      </c>
      <c r="R111">
        <v>1</v>
      </c>
      <c r="S111">
        <v>2</v>
      </c>
      <c r="T111">
        <v>2</v>
      </c>
      <c r="U111">
        <v>100</v>
      </c>
      <c r="V111">
        <v>0</v>
      </c>
      <c r="W111">
        <v>0</v>
      </c>
      <c r="X111">
        <v>1</v>
      </c>
      <c r="Y111">
        <v>1000000000</v>
      </c>
      <c r="Z111">
        <v>2</v>
      </c>
      <c r="AA111">
        <v>2</v>
      </c>
      <c r="AB111">
        <v>1</v>
      </c>
      <c r="AC111">
        <v>30</v>
      </c>
      <c r="AD111">
        <v>0</v>
      </c>
      <c r="AE111">
        <v>0</v>
      </c>
      <c r="AF111">
        <v>0</v>
      </c>
      <c r="AG111">
        <v>4</v>
      </c>
      <c r="AH111">
        <v>13</v>
      </c>
      <c r="AI111" s="1">
        <v>1</v>
      </c>
    </row>
    <row r="112" spans="1:35">
      <c r="A112" s="9">
        <v>1614398</v>
      </c>
      <c r="B112">
        <v>2</v>
      </c>
      <c r="C112">
        <v>2</v>
      </c>
      <c r="D112">
        <v>10</v>
      </c>
      <c r="E112">
        <v>1079</v>
      </c>
      <c r="F112">
        <v>2019</v>
      </c>
      <c r="G112">
        <v>10</v>
      </c>
      <c r="H112">
        <v>1.6504706</v>
      </c>
      <c r="I112">
        <v>24000000</v>
      </c>
      <c r="J112">
        <v>21000000</v>
      </c>
      <c r="K112">
        <v>30</v>
      </c>
      <c r="L112">
        <v>2</v>
      </c>
      <c r="M112">
        <v>2</v>
      </c>
      <c r="N112">
        <v>15600000</v>
      </c>
      <c r="O112">
        <v>5000000</v>
      </c>
      <c r="P112">
        <v>1200000</v>
      </c>
      <c r="Q112">
        <v>0</v>
      </c>
      <c r="S112">
        <v>2</v>
      </c>
      <c r="T112">
        <v>2</v>
      </c>
      <c r="U112">
        <v>10</v>
      </c>
      <c r="V112">
        <v>0</v>
      </c>
      <c r="W112">
        <v>0</v>
      </c>
      <c r="X112">
        <v>1</v>
      </c>
      <c r="Y112">
        <v>3000000</v>
      </c>
      <c r="Z112">
        <v>2</v>
      </c>
      <c r="AA112">
        <v>2</v>
      </c>
      <c r="AB112">
        <v>1</v>
      </c>
      <c r="AC112">
        <v>8</v>
      </c>
      <c r="AD112">
        <v>2</v>
      </c>
      <c r="AE112">
        <v>3</v>
      </c>
      <c r="AF112">
        <v>2</v>
      </c>
      <c r="AG112">
        <v>2</v>
      </c>
      <c r="AH112">
        <v>2</v>
      </c>
      <c r="AI112" s="1">
        <v>2</v>
      </c>
    </row>
    <row r="113" spans="1:35">
      <c r="A113" s="9">
        <v>1614399</v>
      </c>
      <c r="B113">
        <v>1</v>
      </c>
      <c r="C113">
        <v>3</v>
      </c>
      <c r="D113">
        <v>122</v>
      </c>
      <c r="E113">
        <v>1394</v>
      </c>
      <c r="F113">
        <v>1963</v>
      </c>
      <c r="G113">
        <v>20</v>
      </c>
      <c r="H113">
        <v>1.574964</v>
      </c>
      <c r="I113">
        <v>11000000000</v>
      </c>
      <c r="J113">
        <v>10000000000</v>
      </c>
      <c r="K113">
        <v>40</v>
      </c>
      <c r="L113">
        <v>120</v>
      </c>
      <c r="M113">
        <v>160</v>
      </c>
      <c r="N113">
        <v>800000000</v>
      </c>
      <c r="O113">
        <v>7000000000</v>
      </c>
      <c r="P113">
        <v>300000000</v>
      </c>
      <c r="Q113">
        <v>15</v>
      </c>
      <c r="R113">
        <v>1</v>
      </c>
      <c r="S113">
        <v>1</v>
      </c>
      <c r="T113">
        <v>2</v>
      </c>
      <c r="U113">
        <v>20</v>
      </c>
      <c r="V113">
        <v>40</v>
      </c>
      <c r="W113">
        <v>40</v>
      </c>
      <c r="X113">
        <v>2</v>
      </c>
      <c r="Z113">
        <v>1</v>
      </c>
      <c r="AA113">
        <v>2</v>
      </c>
      <c r="AB113">
        <v>2</v>
      </c>
      <c r="AD113">
        <v>0</v>
      </c>
      <c r="AE113">
        <v>1</v>
      </c>
      <c r="AF113">
        <v>0</v>
      </c>
      <c r="AG113">
        <v>1</v>
      </c>
      <c r="AH113">
        <v>6</v>
      </c>
      <c r="AI113" s="1">
        <v>1</v>
      </c>
    </row>
    <row r="114" spans="1:35">
      <c r="A114" s="9">
        <v>1614402</v>
      </c>
      <c r="B114">
        <v>1</v>
      </c>
      <c r="C114">
        <v>1</v>
      </c>
      <c r="D114">
        <v>12</v>
      </c>
      <c r="E114">
        <v>1080</v>
      </c>
      <c r="F114">
        <v>2000</v>
      </c>
      <c r="G114">
        <v>13</v>
      </c>
      <c r="H114">
        <v>30.085899999999999</v>
      </c>
      <c r="I114">
        <v>68000000</v>
      </c>
      <c r="J114">
        <v>35000000</v>
      </c>
      <c r="K114">
        <v>90</v>
      </c>
      <c r="L114">
        <v>12</v>
      </c>
      <c r="M114">
        <v>6</v>
      </c>
      <c r="N114">
        <v>25000000</v>
      </c>
      <c r="O114">
        <v>40000000</v>
      </c>
      <c r="P114">
        <v>80000000</v>
      </c>
      <c r="Q114">
        <v>0</v>
      </c>
      <c r="S114">
        <v>2</v>
      </c>
      <c r="T114">
        <v>2</v>
      </c>
      <c r="U114">
        <v>50</v>
      </c>
      <c r="V114">
        <v>0</v>
      </c>
      <c r="W114">
        <v>50</v>
      </c>
      <c r="X114">
        <v>2</v>
      </c>
      <c r="Z114">
        <v>2</v>
      </c>
      <c r="AA114">
        <v>2</v>
      </c>
      <c r="AB114">
        <v>1</v>
      </c>
      <c r="AC114">
        <v>2</v>
      </c>
      <c r="AD114">
        <v>2</v>
      </c>
      <c r="AE114">
        <v>0</v>
      </c>
      <c r="AF114">
        <v>0</v>
      </c>
      <c r="AG114">
        <v>0</v>
      </c>
      <c r="AH114">
        <v>14</v>
      </c>
      <c r="AI114" s="1">
        <v>4</v>
      </c>
    </row>
    <row r="115" spans="1:35">
      <c r="A115" s="9">
        <v>1614403</v>
      </c>
      <c r="B115">
        <v>1</v>
      </c>
      <c r="C115">
        <v>3</v>
      </c>
      <c r="D115">
        <v>12</v>
      </c>
      <c r="E115">
        <v>1920</v>
      </c>
      <c r="F115">
        <v>2005</v>
      </c>
      <c r="G115">
        <v>15</v>
      </c>
      <c r="H115">
        <v>1.574964</v>
      </c>
      <c r="I115">
        <v>70000000</v>
      </c>
      <c r="J115">
        <v>50000000</v>
      </c>
      <c r="K115">
        <v>100</v>
      </c>
      <c r="L115">
        <v>12</v>
      </c>
      <c r="M115">
        <v>5</v>
      </c>
      <c r="N115">
        <v>28000000</v>
      </c>
      <c r="O115">
        <v>45000000</v>
      </c>
      <c r="P115">
        <v>50000000</v>
      </c>
      <c r="Q115">
        <v>0</v>
      </c>
      <c r="S115">
        <v>2</v>
      </c>
      <c r="T115">
        <v>2</v>
      </c>
      <c r="U115">
        <v>50</v>
      </c>
      <c r="V115">
        <v>0</v>
      </c>
      <c r="W115">
        <v>40</v>
      </c>
      <c r="X115">
        <v>2</v>
      </c>
      <c r="Z115">
        <v>2</v>
      </c>
      <c r="AA115">
        <v>2</v>
      </c>
      <c r="AB115">
        <v>1</v>
      </c>
      <c r="AC115">
        <v>2</v>
      </c>
      <c r="AD115">
        <v>0</v>
      </c>
      <c r="AE115">
        <v>0</v>
      </c>
      <c r="AF115">
        <v>1</v>
      </c>
      <c r="AG115">
        <v>0</v>
      </c>
      <c r="AH115">
        <v>14</v>
      </c>
      <c r="AI115" s="1">
        <v>4</v>
      </c>
    </row>
    <row r="116" spans="1:35">
      <c r="A116" s="9">
        <v>1614406</v>
      </c>
      <c r="B116">
        <v>2</v>
      </c>
      <c r="C116">
        <v>3</v>
      </c>
      <c r="D116">
        <v>1242</v>
      </c>
      <c r="E116">
        <v>1079</v>
      </c>
      <c r="F116">
        <v>1960</v>
      </c>
      <c r="G116">
        <v>6</v>
      </c>
      <c r="H116">
        <v>1.3089461</v>
      </c>
      <c r="I116">
        <v>27000000000</v>
      </c>
      <c r="J116">
        <v>27180000000</v>
      </c>
      <c r="K116">
        <v>77</v>
      </c>
      <c r="L116">
        <v>1384</v>
      </c>
      <c r="M116">
        <v>1711</v>
      </c>
      <c r="N116">
        <v>2988000000</v>
      </c>
      <c r="O116">
        <v>15628496000</v>
      </c>
      <c r="P116">
        <v>50000000000</v>
      </c>
      <c r="Q116">
        <v>99</v>
      </c>
      <c r="R116">
        <v>1</v>
      </c>
      <c r="S116">
        <v>2</v>
      </c>
      <c r="T116">
        <v>2</v>
      </c>
      <c r="U116">
        <v>100</v>
      </c>
      <c r="V116">
        <v>0</v>
      </c>
      <c r="W116">
        <v>0</v>
      </c>
      <c r="X116">
        <v>2</v>
      </c>
      <c r="Z116">
        <v>2</v>
      </c>
      <c r="AA116">
        <v>2</v>
      </c>
      <c r="AB116">
        <v>1</v>
      </c>
      <c r="AC116">
        <v>4</v>
      </c>
      <c r="AD116">
        <v>3</v>
      </c>
      <c r="AE116">
        <v>0</v>
      </c>
      <c r="AF116">
        <v>0</v>
      </c>
      <c r="AG116">
        <v>-7</v>
      </c>
      <c r="AH116">
        <v>14</v>
      </c>
      <c r="AI116" s="1">
        <v>4</v>
      </c>
    </row>
    <row r="117" spans="1:35">
      <c r="A117" s="9">
        <v>1614408</v>
      </c>
      <c r="B117">
        <v>1</v>
      </c>
      <c r="C117">
        <v>3</v>
      </c>
      <c r="D117">
        <v>325</v>
      </c>
      <c r="E117">
        <v>2220</v>
      </c>
      <c r="F117">
        <v>1992</v>
      </c>
      <c r="G117">
        <v>30</v>
      </c>
      <c r="H117">
        <v>1.574964</v>
      </c>
      <c r="I117">
        <v>830000000000</v>
      </c>
      <c r="J117">
        <v>900000000000</v>
      </c>
      <c r="K117">
        <v>95</v>
      </c>
      <c r="L117">
        <v>325</v>
      </c>
      <c r="M117">
        <v>300</v>
      </c>
      <c r="N117">
        <v>20400000000</v>
      </c>
      <c r="O117">
        <v>500000000000</v>
      </c>
      <c r="P117">
        <v>700000000000</v>
      </c>
      <c r="Q117">
        <v>50</v>
      </c>
      <c r="R117">
        <v>1</v>
      </c>
      <c r="S117">
        <v>1</v>
      </c>
      <c r="T117">
        <v>1</v>
      </c>
      <c r="U117">
        <v>70</v>
      </c>
      <c r="V117">
        <v>10</v>
      </c>
      <c r="W117">
        <v>20</v>
      </c>
      <c r="X117">
        <v>2</v>
      </c>
      <c r="Z117">
        <v>1</v>
      </c>
      <c r="AA117">
        <v>1</v>
      </c>
      <c r="AB117">
        <v>2</v>
      </c>
      <c r="AD117">
        <v>2</v>
      </c>
      <c r="AE117">
        <v>1</v>
      </c>
      <c r="AF117">
        <v>2</v>
      </c>
      <c r="AG117">
        <v>1</v>
      </c>
      <c r="AH117">
        <v>14</v>
      </c>
      <c r="AI117" s="1">
        <v>4</v>
      </c>
    </row>
    <row r="118" spans="1:35">
      <c r="A118" s="9">
        <v>1614427</v>
      </c>
      <c r="B118">
        <v>2</v>
      </c>
      <c r="C118">
        <v>2</v>
      </c>
      <c r="D118">
        <v>31</v>
      </c>
      <c r="E118">
        <v>1061</v>
      </c>
      <c r="F118">
        <v>2005</v>
      </c>
      <c r="G118">
        <v>20</v>
      </c>
      <c r="H118">
        <v>2.6198342000000001</v>
      </c>
      <c r="I118">
        <v>371000000</v>
      </c>
      <c r="J118">
        <v>300000000</v>
      </c>
      <c r="K118">
        <v>90</v>
      </c>
      <c r="L118">
        <v>25</v>
      </c>
      <c r="M118">
        <v>25</v>
      </c>
      <c r="N118">
        <v>167400000</v>
      </c>
      <c r="O118">
        <v>131000000</v>
      </c>
      <c r="P118">
        <v>400000000</v>
      </c>
      <c r="Q118">
        <v>0</v>
      </c>
      <c r="R118">
        <v>1</v>
      </c>
      <c r="S118">
        <v>2</v>
      </c>
      <c r="T118">
        <v>2</v>
      </c>
      <c r="U118">
        <v>60</v>
      </c>
      <c r="V118">
        <v>0</v>
      </c>
      <c r="W118">
        <v>20</v>
      </c>
      <c r="X118">
        <v>2</v>
      </c>
      <c r="Z118">
        <v>2</v>
      </c>
      <c r="AA118">
        <v>2</v>
      </c>
      <c r="AB118">
        <v>1</v>
      </c>
      <c r="AC118">
        <v>3</v>
      </c>
      <c r="AD118">
        <v>3</v>
      </c>
      <c r="AE118">
        <v>2</v>
      </c>
      <c r="AF118">
        <v>0</v>
      </c>
      <c r="AG118">
        <v>1</v>
      </c>
      <c r="AH118">
        <v>8</v>
      </c>
      <c r="AI118" s="1">
        <v>1</v>
      </c>
    </row>
    <row r="119" spans="1:35">
      <c r="A119" s="9">
        <v>1614428</v>
      </c>
      <c r="B119">
        <v>1</v>
      </c>
      <c r="C119">
        <v>1</v>
      </c>
      <c r="D119">
        <v>120</v>
      </c>
      <c r="E119">
        <v>2022</v>
      </c>
      <c r="F119">
        <v>1980</v>
      </c>
      <c r="G119">
        <v>12</v>
      </c>
      <c r="H119">
        <v>157.86736999999999</v>
      </c>
      <c r="I119">
        <v>43673000000</v>
      </c>
      <c r="J119">
        <v>36000000000</v>
      </c>
      <c r="K119">
        <v>95</v>
      </c>
      <c r="L119">
        <v>120</v>
      </c>
      <c r="M119">
        <v>100</v>
      </c>
      <c r="N119">
        <v>1100000000</v>
      </c>
      <c r="O119">
        <v>-9</v>
      </c>
      <c r="P119">
        <v>5000000000</v>
      </c>
      <c r="Q119">
        <v>40</v>
      </c>
      <c r="R119">
        <v>1</v>
      </c>
      <c r="S119">
        <v>1</v>
      </c>
      <c r="T119">
        <v>2</v>
      </c>
      <c r="U119">
        <v>60</v>
      </c>
      <c r="V119">
        <v>0</v>
      </c>
      <c r="W119">
        <v>40</v>
      </c>
      <c r="X119">
        <v>2</v>
      </c>
      <c r="Z119">
        <v>2</v>
      </c>
      <c r="AA119">
        <v>2</v>
      </c>
      <c r="AB119">
        <v>1</v>
      </c>
      <c r="AC119">
        <v>4</v>
      </c>
      <c r="AD119">
        <v>1</v>
      </c>
      <c r="AE119">
        <v>1</v>
      </c>
      <c r="AF119">
        <v>1</v>
      </c>
      <c r="AG119">
        <v>3</v>
      </c>
      <c r="AH119">
        <v>12</v>
      </c>
      <c r="AI119" s="1">
        <v>2</v>
      </c>
    </row>
    <row r="120" spans="1:35">
      <c r="A120" s="9">
        <v>1614432</v>
      </c>
      <c r="B120">
        <v>4</v>
      </c>
      <c r="C120">
        <v>1</v>
      </c>
      <c r="D120">
        <v>6</v>
      </c>
      <c r="E120">
        <v>1061</v>
      </c>
      <c r="F120">
        <v>2010</v>
      </c>
      <c r="G120">
        <v>16</v>
      </c>
      <c r="H120">
        <v>1.6450883999999999</v>
      </c>
      <c r="I120">
        <v>38300000</v>
      </c>
      <c r="J120">
        <v>35740000</v>
      </c>
      <c r="K120">
        <v>70</v>
      </c>
      <c r="L120">
        <v>3</v>
      </c>
      <c r="M120">
        <v>3</v>
      </c>
      <c r="N120">
        <v>5100000</v>
      </c>
      <c r="O120">
        <v>11000000</v>
      </c>
      <c r="P120">
        <v>89400000</v>
      </c>
      <c r="Q120">
        <v>0</v>
      </c>
      <c r="S120">
        <v>2</v>
      </c>
      <c r="T120">
        <v>2</v>
      </c>
      <c r="U120">
        <v>90</v>
      </c>
      <c r="V120">
        <v>0</v>
      </c>
      <c r="W120">
        <v>0</v>
      </c>
      <c r="X120">
        <v>2</v>
      </c>
      <c r="Z120">
        <v>2</v>
      </c>
      <c r="AA120">
        <v>2</v>
      </c>
      <c r="AB120">
        <v>1</v>
      </c>
      <c r="AC120">
        <v>6</v>
      </c>
      <c r="AD120">
        <v>2</v>
      </c>
      <c r="AE120">
        <v>1</v>
      </c>
      <c r="AF120">
        <v>0</v>
      </c>
      <c r="AG120">
        <v>0</v>
      </c>
      <c r="AH120">
        <v>14</v>
      </c>
      <c r="AI120" s="1">
        <v>2</v>
      </c>
    </row>
    <row r="121" spans="1:35">
      <c r="A121" s="9">
        <v>1614441</v>
      </c>
      <c r="B121">
        <v>4</v>
      </c>
      <c r="C121">
        <v>1</v>
      </c>
      <c r="D121">
        <v>22</v>
      </c>
      <c r="E121">
        <v>1061</v>
      </c>
      <c r="F121">
        <v>2005</v>
      </c>
      <c r="G121">
        <v>20</v>
      </c>
      <c r="H121">
        <v>1.6450883999999999</v>
      </c>
      <c r="I121">
        <v>1000000000</v>
      </c>
      <c r="J121">
        <v>800000000</v>
      </c>
      <c r="K121">
        <v>65</v>
      </c>
      <c r="L121">
        <v>22</v>
      </c>
      <c r="M121">
        <v>22</v>
      </c>
      <c r="N121">
        <v>80000000</v>
      </c>
      <c r="O121">
        <v>30000000</v>
      </c>
      <c r="P121">
        <v>2000000000</v>
      </c>
      <c r="Q121">
        <v>0</v>
      </c>
      <c r="R121">
        <v>2</v>
      </c>
      <c r="S121">
        <v>2</v>
      </c>
      <c r="T121">
        <v>2</v>
      </c>
      <c r="U121">
        <v>90</v>
      </c>
      <c r="V121">
        <v>0</v>
      </c>
      <c r="W121">
        <v>0</v>
      </c>
      <c r="X121">
        <v>2</v>
      </c>
      <c r="Z121">
        <v>2</v>
      </c>
      <c r="AA121">
        <v>2</v>
      </c>
      <c r="AB121">
        <v>2</v>
      </c>
      <c r="AD121">
        <v>1</v>
      </c>
      <c r="AE121">
        <v>0</v>
      </c>
      <c r="AF121">
        <v>0</v>
      </c>
      <c r="AG121">
        <v>2</v>
      </c>
      <c r="AH121">
        <v>14</v>
      </c>
      <c r="AI121" s="1">
        <v>4</v>
      </c>
    </row>
    <row r="122" spans="1:35">
      <c r="A122" s="9">
        <v>1614444</v>
      </c>
      <c r="B122">
        <v>1</v>
      </c>
      <c r="C122">
        <v>1</v>
      </c>
      <c r="D122">
        <v>6</v>
      </c>
      <c r="E122">
        <v>1410</v>
      </c>
      <c r="F122">
        <v>2016</v>
      </c>
      <c r="G122">
        <v>1</v>
      </c>
      <c r="H122">
        <v>259.94695999999999</v>
      </c>
      <c r="I122">
        <v>30000000</v>
      </c>
      <c r="J122">
        <v>15000000</v>
      </c>
      <c r="K122">
        <v>60</v>
      </c>
      <c r="L122">
        <v>3</v>
      </c>
      <c r="M122">
        <v>2</v>
      </c>
      <c r="N122">
        <v>12000000</v>
      </c>
      <c r="O122">
        <v>2500000</v>
      </c>
      <c r="P122">
        <v>40000000</v>
      </c>
      <c r="Q122">
        <v>0</v>
      </c>
      <c r="S122">
        <v>2</v>
      </c>
      <c r="T122">
        <v>2</v>
      </c>
      <c r="U122">
        <v>100</v>
      </c>
      <c r="V122">
        <v>0</v>
      </c>
      <c r="W122">
        <v>0</v>
      </c>
      <c r="X122">
        <v>2</v>
      </c>
      <c r="Z122">
        <v>2</v>
      </c>
      <c r="AA122">
        <v>2</v>
      </c>
      <c r="AB122">
        <v>2</v>
      </c>
      <c r="AD122">
        <v>1</v>
      </c>
      <c r="AE122">
        <v>1</v>
      </c>
      <c r="AF122">
        <v>0</v>
      </c>
      <c r="AG122">
        <v>2</v>
      </c>
      <c r="AH122">
        <v>12</v>
      </c>
      <c r="AI122" s="1">
        <v>4</v>
      </c>
    </row>
    <row r="123" spans="1:35">
      <c r="A123" s="9">
        <v>1614446</v>
      </c>
      <c r="B123">
        <v>2</v>
      </c>
      <c r="C123">
        <v>2</v>
      </c>
      <c r="D123">
        <v>152</v>
      </c>
      <c r="E123">
        <v>1079</v>
      </c>
      <c r="F123">
        <v>2011</v>
      </c>
      <c r="G123">
        <v>60</v>
      </c>
      <c r="H123">
        <v>1.6504706</v>
      </c>
      <c r="I123">
        <v>3660000000</v>
      </c>
      <c r="J123">
        <v>13000000000</v>
      </c>
      <c r="K123">
        <v>20</v>
      </c>
      <c r="L123">
        <v>45</v>
      </c>
      <c r="M123">
        <v>54</v>
      </c>
      <c r="N123">
        <v>800000000</v>
      </c>
      <c r="O123">
        <v>700000000</v>
      </c>
      <c r="P123">
        <v>4500000000</v>
      </c>
      <c r="Q123">
        <v>0</v>
      </c>
      <c r="R123">
        <v>2</v>
      </c>
      <c r="S123">
        <v>2</v>
      </c>
      <c r="T123">
        <v>1</v>
      </c>
      <c r="U123">
        <v>0</v>
      </c>
      <c r="V123">
        <v>30</v>
      </c>
      <c r="W123">
        <v>0</v>
      </c>
      <c r="X123">
        <v>2</v>
      </c>
      <c r="Z123">
        <v>1</v>
      </c>
      <c r="AA123">
        <v>2</v>
      </c>
      <c r="AB123">
        <v>1</v>
      </c>
      <c r="AC123">
        <v>8</v>
      </c>
      <c r="AD123">
        <v>3</v>
      </c>
      <c r="AE123">
        <v>3</v>
      </c>
      <c r="AF123">
        <v>1</v>
      </c>
      <c r="AG123">
        <v>2</v>
      </c>
      <c r="AH123">
        <v>14</v>
      </c>
      <c r="AI123" s="1">
        <v>4</v>
      </c>
    </row>
    <row r="124" spans="1:35">
      <c r="A124" s="9">
        <v>1614447</v>
      </c>
      <c r="B124">
        <v>3</v>
      </c>
      <c r="C124">
        <v>2</v>
      </c>
      <c r="D124">
        <v>12</v>
      </c>
      <c r="E124">
        <v>1061</v>
      </c>
      <c r="F124">
        <v>2014</v>
      </c>
      <c r="G124">
        <v>11</v>
      </c>
      <c r="H124">
        <v>1.6103765000000001</v>
      </c>
      <c r="I124">
        <v>120000000</v>
      </c>
      <c r="J124">
        <v>100000000</v>
      </c>
      <c r="K124">
        <v>90</v>
      </c>
      <c r="L124">
        <v>12</v>
      </c>
      <c r="M124">
        <v>20</v>
      </c>
      <c r="N124">
        <v>18000000</v>
      </c>
      <c r="O124">
        <v>40000000</v>
      </c>
      <c r="P124">
        <v>170000000</v>
      </c>
      <c r="Q124">
        <v>0</v>
      </c>
      <c r="S124">
        <v>2</v>
      </c>
      <c r="T124">
        <v>2</v>
      </c>
      <c r="U124">
        <v>60</v>
      </c>
      <c r="V124">
        <v>20</v>
      </c>
      <c r="W124">
        <v>0</v>
      </c>
      <c r="X124">
        <v>2</v>
      </c>
      <c r="Z124">
        <v>2</v>
      </c>
      <c r="AA124">
        <v>1</v>
      </c>
      <c r="AB124">
        <v>1</v>
      </c>
      <c r="AC124">
        <v>10</v>
      </c>
      <c r="AD124">
        <v>4</v>
      </c>
      <c r="AE124">
        <v>3</v>
      </c>
      <c r="AF124">
        <v>4</v>
      </c>
      <c r="AG124">
        <v>2</v>
      </c>
      <c r="AH124">
        <v>8</v>
      </c>
      <c r="AI124" s="1">
        <v>1</v>
      </c>
    </row>
    <row r="125" spans="1:35">
      <c r="A125" s="9">
        <v>1614451</v>
      </c>
      <c r="B125">
        <v>4</v>
      </c>
      <c r="C125">
        <v>1</v>
      </c>
      <c r="D125">
        <v>7</v>
      </c>
      <c r="E125">
        <v>2511</v>
      </c>
      <c r="F125">
        <v>2011</v>
      </c>
      <c r="G125">
        <v>17</v>
      </c>
      <c r="H125">
        <v>43.730415000000001</v>
      </c>
      <c r="I125">
        <v>50330000</v>
      </c>
      <c r="J125">
        <v>43180000</v>
      </c>
      <c r="K125">
        <v>45</v>
      </c>
      <c r="L125">
        <v>4</v>
      </c>
      <c r="M125">
        <v>4</v>
      </c>
      <c r="N125">
        <v>7420000</v>
      </c>
      <c r="O125">
        <v>10210000</v>
      </c>
      <c r="P125">
        <v>163470000</v>
      </c>
      <c r="Q125">
        <v>0</v>
      </c>
      <c r="S125">
        <v>2</v>
      </c>
      <c r="T125">
        <v>2</v>
      </c>
      <c r="U125">
        <v>60</v>
      </c>
      <c r="V125">
        <v>0</v>
      </c>
      <c r="W125">
        <v>20</v>
      </c>
      <c r="X125">
        <v>2</v>
      </c>
      <c r="Z125">
        <v>2</v>
      </c>
      <c r="AA125">
        <v>2</v>
      </c>
      <c r="AB125">
        <v>1</v>
      </c>
      <c r="AC125">
        <v>8</v>
      </c>
      <c r="AD125">
        <v>3</v>
      </c>
      <c r="AE125">
        <v>1</v>
      </c>
      <c r="AF125">
        <v>0</v>
      </c>
      <c r="AG125">
        <v>1</v>
      </c>
      <c r="AH125">
        <v>8</v>
      </c>
      <c r="AI125" s="1">
        <v>2</v>
      </c>
    </row>
    <row r="126" spans="1:35">
      <c r="A126" s="9">
        <v>1614452</v>
      </c>
      <c r="B126">
        <v>1</v>
      </c>
      <c r="C126">
        <v>3</v>
      </c>
      <c r="D126">
        <v>500</v>
      </c>
      <c r="E126">
        <v>2821</v>
      </c>
      <c r="F126">
        <v>1983</v>
      </c>
      <c r="G126">
        <v>30</v>
      </c>
      <c r="H126">
        <v>1.574964</v>
      </c>
      <c r="I126">
        <v>400000000000</v>
      </c>
      <c r="J126">
        <v>300000000000</v>
      </c>
      <c r="K126">
        <v>45</v>
      </c>
      <c r="L126">
        <v>400</v>
      </c>
      <c r="M126">
        <v>100</v>
      </c>
      <c r="N126">
        <v>10000000000</v>
      </c>
      <c r="O126">
        <v>12000000000</v>
      </c>
      <c r="P126">
        <v>15000000000</v>
      </c>
      <c r="Q126">
        <v>0</v>
      </c>
      <c r="R126">
        <v>2</v>
      </c>
      <c r="S126">
        <v>2</v>
      </c>
      <c r="T126">
        <v>2</v>
      </c>
      <c r="U126">
        <v>100</v>
      </c>
      <c r="V126">
        <v>0</v>
      </c>
      <c r="W126">
        <v>0</v>
      </c>
      <c r="X126">
        <v>2</v>
      </c>
      <c r="Z126">
        <v>-9</v>
      </c>
      <c r="AA126">
        <v>2</v>
      </c>
      <c r="AB126">
        <v>2</v>
      </c>
      <c r="AD126">
        <v>0</v>
      </c>
      <c r="AE126">
        <v>0</v>
      </c>
      <c r="AF126">
        <v>1</v>
      </c>
      <c r="AG126">
        <v>0</v>
      </c>
      <c r="AH126">
        <v>13</v>
      </c>
      <c r="AI126" s="1">
        <v>2</v>
      </c>
    </row>
    <row r="127" spans="1:35">
      <c r="A127" s="9">
        <v>1614456</v>
      </c>
      <c r="B127">
        <v>3</v>
      </c>
      <c r="C127">
        <v>2</v>
      </c>
      <c r="D127">
        <v>8</v>
      </c>
      <c r="E127">
        <v>2511</v>
      </c>
      <c r="F127">
        <v>2016</v>
      </c>
      <c r="G127">
        <v>10</v>
      </c>
      <c r="H127">
        <v>1.6637995999999999</v>
      </c>
      <c r="I127">
        <v>74700000</v>
      </c>
      <c r="J127">
        <v>51260000</v>
      </c>
      <c r="K127">
        <v>30</v>
      </c>
      <c r="L127">
        <v>4</v>
      </c>
      <c r="M127">
        <v>4</v>
      </c>
      <c r="N127">
        <v>10200000</v>
      </c>
      <c r="O127">
        <v>15000000</v>
      </c>
      <c r="P127">
        <v>182000000</v>
      </c>
      <c r="Q127">
        <v>0</v>
      </c>
      <c r="S127">
        <v>2</v>
      </c>
      <c r="T127">
        <v>2</v>
      </c>
      <c r="U127">
        <v>90</v>
      </c>
      <c r="V127">
        <v>0</v>
      </c>
      <c r="W127">
        <v>0</v>
      </c>
      <c r="X127">
        <v>2</v>
      </c>
      <c r="Z127">
        <v>2</v>
      </c>
      <c r="AA127">
        <v>1</v>
      </c>
      <c r="AB127">
        <v>1</v>
      </c>
      <c r="AC127">
        <v>5</v>
      </c>
      <c r="AD127">
        <v>2</v>
      </c>
      <c r="AE127">
        <v>4</v>
      </c>
      <c r="AF127">
        <v>0</v>
      </c>
      <c r="AG127">
        <v>0</v>
      </c>
      <c r="AH127">
        <v>1</v>
      </c>
      <c r="AI127" s="1">
        <v>2</v>
      </c>
    </row>
    <row r="128" spans="1:35">
      <c r="A128" s="9">
        <v>1614457</v>
      </c>
      <c r="B128">
        <v>1</v>
      </c>
      <c r="C128">
        <v>3</v>
      </c>
      <c r="D128">
        <v>100</v>
      </c>
      <c r="E128">
        <v>1104</v>
      </c>
      <c r="F128">
        <v>1950</v>
      </c>
      <c r="G128">
        <v>30</v>
      </c>
      <c r="H128">
        <v>1.574964</v>
      </c>
      <c r="I128">
        <v>15000000000</v>
      </c>
      <c r="J128">
        <v>10000000000</v>
      </c>
      <c r="K128">
        <v>100</v>
      </c>
      <c r="L128">
        <v>100</v>
      </c>
      <c r="M128">
        <v>40</v>
      </c>
      <c r="N128">
        <v>500000000</v>
      </c>
      <c r="O128">
        <v>800000000</v>
      </c>
      <c r="P128">
        <v>20000000000</v>
      </c>
      <c r="Q128">
        <v>0</v>
      </c>
      <c r="R128">
        <v>1</v>
      </c>
      <c r="S128">
        <v>2</v>
      </c>
      <c r="T128">
        <v>2</v>
      </c>
      <c r="U128">
        <v>50</v>
      </c>
      <c r="V128">
        <v>0</v>
      </c>
      <c r="W128">
        <v>50</v>
      </c>
      <c r="X128">
        <v>2</v>
      </c>
      <c r="Z128">
        <v>2</v>
      </c>
      <c r="AA128">
        <v>2</v>
      </c>
      <c r="AB128">
        <v>2</v>
      </c>
      <c r="AD128">
        <v>1</v>
      </c>
      <c r="AE128">
        <v>0</v>
      </c>
      <c r="AF128">
        <v>0</v>
      </c>
      <c r="AG128">
        <v>1</v>
      </c>
      <c r="AH128">
        <v>14</v>
      </c>
      <c r="AI128" s="1">
        <v>4</v>
      </c>
    </row>
    <row r="129" spans="1:35">
      <c r="A129" s="9">
        <v>1614460</v>
      </c>
      <c r="B129">
        <v>2</v>
      </c>
      <c r="C129">
        <v>2</v>
      </c>
      <c r="D129">
        <v>5</v>
      </c>
      <c r="E129">
        <v>3100</v>
      </c>
      <c r="F129">
        <v>2023</v>
      </c>
      <c r="G129">
        <v>4</v>
      </c>
      <c r="H129">
        <v>22.385155000000001</v>
      </c>
      <c r="I129">
        <v>-9</v>
      </c>
      <c r="J129">
        <v>-7</v>
      </c>
      <c r="K129">
        <v>3</v>
      </c>
      <c r="L129">
        <v>3</v>
      </c>
      <c r="M129">
        <v>-7</v>
      </c>
      <c r="N129">
        <v>-9</v>
      </c>
      <c r="O129">
        <v>-9</v>
      </c>
      <c r="P129">
        <v>-9</v>
      </c>
      <c r="Q129">
        <v>0</v>
      </c>
      <c r="S129">
        <v>2</v>
      </c>
      <c r="T129">
        <v>2</v>
      </c>
      <c r="U129">
        <v>30</v>
      </c>
      <c r="V129">
        <v>0</v>
      </c>
      <c r="W129">
        <v>70</v>
      </c>
      <c r="X129">
        <v>2</v>
      </c>
      <c r="Z129">
        <v>2</v>
      </c>
      <c r="AA129">
        <v>2</v>
      </c>
      <c r="AB129">
        <v>2</v>
      </c>
      <c r="AD129">
        <v>3</v>
      </c>
      <c r="AE129">
        <v>3</v>
      </c>
      <c r="AF129">
        <v>3</v>
      </c>
      <c r="AG129">
        <v>3</v>
      </c>
      <c r="AH129">
        <v>1</v>
      </c>
      <c r="AI129" s="1">
        <v>2</v>
      </c>
    </row>
    <row r="130" spans="1:35">
      <c r="A130" s="9">
        <v>1614461</v>
      </c>
      <c r="B130">
        <v>1</v>
      </c>
      <c r="C130">
        <v>3</v>
      </c>
      <c r="D130">
        <v>250</v>
      </c>
      <c r="E130">
        <v>3100</v>
      </c>
      <c r="F130">
        <v>2001</v>
      </c>
      <c r="G130">
        <v>20</v>
      </c>
      <c r="H130">
        <v>1.574964</v>
      </c>
      <c r="I130">
        <v>259000000000</v>
      </c>
      <c r="J130">
        <v>-9</v>
      </c>
      <c r="K130">
        <v>100</v>
      </c>
      <c r="L130">
        <v>250</v>
      </c>
      <c r="M130">
        <v>160</v>
      </c>
      <c r="N130">
        <v>2400000000</v>
      </c>
      <c r="O130">
        <v>68000000000</v>
      </c>
      <c r="P130">
        <v>-9</v>
      </c>
      <c r="Q130">
        <v>13</v>
      </c>
      <c r="R130">
        <v>1</v>
      </c>
      <c r="S130">
        <v>2</v>
      </c>
      <c r="T130">
        <v>2</v>
      </c>
      <c r="U130">
        <v>90</v>
      </c>
      <c r="V130">
        <v>0</v>
      </c>
      <c r="W130">
        <v>0</v>
      </c>
      <c r="X130">
        <v>2</v>
      </c>
      <c r="Z130">
        <v>2</v>
      </c>
      <c r="AA130">
        <v>2</v>
      </c>
      <c r="AB130">
        <v>1</v>
      </c>
      <c r="AC130">
        <v>6</v>
      </c>
      <c r="AD130">
        <v>1</v>
      </c>
      <c r="AE130">
        <v>1</v>
      </c>
      <c r="AF130">
        <v>0</v>
      </c>
      <c r="AG130">
        <v>2</v>
      </c>
      <c r="AH130">
        <v>12</v>
      </c>
      <c r="AI130" s="1">
        <v>4</v>
      </c>
    </row>
    <row r="131" spans="1:35">
      <c r="A131" s="9">
        <v>1614469</v>
      </c>
      <c r="B131">
        <v>1</v>
      </c>
      <c r="C131">
        <v>3</v>
      </c>
      <c r="D131">
        <v>800</v>
      </c>
      <c r="E131">
        <v>2394</v>
      </c>
      <c r="F131">
        <v>1994</v>
      </c>
      <c r="G131">
        <v>28</v>
      </c>
      <c r="H131">
        <v>1.574964</v>
      </c>
      <c r="I131">
        <v>25000000000</v>
      </c>
      <c r="J131">
        <v>15000000000</v>
      </c>
      <c r="K131">
        <v>99</v>
      </c>
      <c r="L131">
        <v>52</v>
      </c>
      <c r="M131">
        <v>25</v>
      </c>
      <c r="N131">
        <v>2000000000</v>
      </c>
      <c r="O131">
        <v>15000000000</v>
      </c>
      <c r="P131">
        <v>18000000000</v>
      </c>
      <c r="Q131">
        <v>50</v>
      </c>
      <c r="R131">
        <v>1</v>
      </c>
      <c r="S131">
        <v>1</v>
      </c>
      <c r="T131">
        <v>2</v>
      </c>
      <c r="U131">
        <v>70</v>
      </c>
      <c r="V131">
        <v>0</v>
      </c>
      <c r="W131">
        <v>10</v>
      </c>
      <c r="X131">
        <v>2</v>
      </c>
      <c r="Z131">
        <v>2</v>
      </c>
      <c r="AA131">
        <v>2</v>
      </c>
      <c r="AB131">
        <v>2</v>
      </c>
      <c r="AD131">
        <v>0</v>
      </c>
      <c r="AE131">
        <v>0</v>
      </c>
      <c r="AF131">
        <v>1</v>
      </c>
      <c r="AG131">
        <v>1</v>
      </c>
      <c r="AH131">
        <v>14</v>
      </c>
      <c r="AI131" s="1">
        <v>4</v>
      </c>
    </row>
    <row r="132" spans="1:35">
      <c r="A132" s="9">
        <v>1614470</v>
      </c>
      <c r="B132">
        <v>4</v>
      </c>
      <c r="C132">
        <v>2</v>
      </c>
      <c r="D132">
        <v>15</v>
      </c>
      <c r="E132">
        <v>1102</v>
      </c>
      <c r="F132">
        <v>2016</v>
      </c>
      <c r="G132">
        <v>9</v>
      </c>
      <c r="H132">
        <v>2.6425689999999999</v>
      </c>
      <c r="I132">
        <v>-9</v>
      </c>
      <c r="J132">
        <v>-9</v>
      </c>
      <c r="K132">
        <v>-9</v>
      </c>
      <c r="L132">
        <v>10</v>
      </c>
      <c r="M132">
        <v>9</v>
      </c>
      <c r="N132">
        <v>-9</v>
      </c>
      <c r="O132">
        <v>-9</v>
      </c>
      <c r="P132">
        <v>92340000</v>
      </c>
      <c r="Q132">
        <v>0</v>
      </c>
      <c r="S132">
        <v>1</v>
      </c>
      <c r="T132">
        <v>1</v>
      </c>
      <c r="U132">
        <v>90</v>
      </c>
      <c r="V132">
        <v>0</v>
      </c>
      <c r="W132">
        <v>0</v>
      </c>
      <c r="X132">
        <v>2</v>
      </c>
      <c r="Z132">
        <v>2</v>
      </c>
      <c r="AA132">
        <v>2</v>
      </c>
      <c r="AB132">
        <v>1</v>
      </c>
      <c r="AC132">
        <v>8</v>
      </c>
      <c r="AD132">
        <v>3</v>
      </c>
      <c r="AE132">
        <v>2</v>
      </c>
      <c r="AF132">
        <v>3</v>
      </c>
      <c r="AG132">
        <v>2</v>
      </c>
      <c r="AH132">
        <v>14</v>
      </c>
      <c r="AI132" s="1">
        <v>2</v>
      </c>
    </row>
    <row r="133" spans="1:35">
      <c r="A133" s="9">
        <v>1614471</v>
      </c>
      <c r="B133">
        <v>1</v>
      </c>
      <c r="C133">
        <v>3</v>
      </c>
      <c r="D133">
        <v>800</v>
      </c>
      <c r="E133">
        <v>2410</v>
      </c>
      <c r="F133">
        <v>2001</v>
      </c>
      <c r="G133">
        <v>30</v>
      </c>
      <c r="H133">
        <v>1.574964</v>
      </c>
      <c r="I133">
        <v>2000000000</v>
      </c>
      <c r="J133">
        <v>900000000</v>
      </c>
      <c r="K133">
        <v>100</v>
      </c>
      <c r="L133">
        <v>85</v>
      </c>
      <c r="M133">
        <v>40</v>
      </c>
      <c r="N133">
        <v>700000000</v>
      </c>
      <c r="O133">
        <v>1000000000</v>
      </c>
      <c r="P133">
        <v>8000000000</v>
      </c>
      <c r="Q133">
        <v>25</v>
      </c>
      <c r="R133">
        <v>1</v>
      </c>
      <c r="S133">
        <v>1</v>
      </c>
      <c r="T133">
        <v>2</v>
      </c>
      <c r="U133">
        <v>60</v>
      </c>
      <c r="V133">
        <v>5</v>
      </c>
      <c r="W133">
        <v>20</v>
      </c>
      <c r="X133">
        <v>1</v>
      </c>
      <c r="Y133">
        <v>600000000</v>
      </c>
      <c r="Z133">
        <v>2</v>
      </c>
      <c r="AA133">
        <v>1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14</v>
      </c>
      <c r="AI133" s="1">
        <v>4</v>
      </c>
    </row>
    <row r="134" spans="1:35">
      <c r="A134" s="9">
        <v>1614472</v>
      </c>
      <c r="B134">
        <v>1</v>
      </c>
      <c r="C134">
        <v>1</v>
      </c>
      <c r="D134">
        <v>20</v>
      </c>
      <c r="E134">
        <v>1061</v>
      </c>
      <c r="F134">
        <v>2017</v>
      </c>
      <c r="G134">
        <v>18</v>
      </c>
      <c r="H134">
        <v>30.085899999999999</v>
      </c>
      <c r="I134">
        <v>80000000</v>
      </c>
      <c r="J134">
        <v>50000000</v>
      </c>
      <c r="K134">
        <v>50</v>
      </c>
      <c r="L134">
        <v>13</v>
      </c>
      <c r="M134">
        <v>10</v>
      </c>
      <c r="N134">
        <v>7200000</v>
      </c>
      <c r="O134">
        <v>30000000</v>
      </c>
      <c r="P134">
        <v>120000000</v>
      </c>
      <c r="Q134">
        <v>0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100</v>
      </c>
      <c r="X134">
        <v>1</v>
      </c>
      <c r="Y134">
        <v>5000000</v>
      </c>
      <c r="Z134">
        <v>2</v>
      </c>
      <c r="AA134">
        <v>2</v>
      </c>
      <c r="AB134">
        <v>2</v>
      </c>
      <c r="AD134">
        <v>1</v>
      </c>
      <c r="AE134">
        <v>3</v>
      </c>
      <c r="AF134">
        <v>0</v>
      </c>
      <c r="AG134">
        <v>3</v>
      </c>
      <c r="AH134">
        <v>1</v>
      </c>
      <c r="AI134" s="1">
        <v>2</v>
      </c>
    </row>
    <row r="135" spans="1:35">
      <c r="A135" s="9">
        <v>1614474</v>
      </c>
      <c r="B135">
        <v>2</v>
      </c>
      <c r="C135">
        <v>2</v>
      </c>
      <c r="D135">
        <v>40</v>
      </c>
      <c r="E135">
        <v>1061</v>
      </c>
      <c r="F135">
        <v>1997</v>
      </c>
      <c r="G135">
        <v>6</v>
      </c>
      <c r="H135">
        <v>1.6504706</v>
      </c>
      <c r="I135">
        <v>-9</v>
      </c>
      <c r="J135">
        <v>-9</v>
      </c>
      <c r="K135">
        <v>3</v>
      </c>
      <c r="L135">
        <v>6</v>
      </c>
      <c r="M135">
        <v>6</v>
      </c>
      <c r="N135">
        <v>-9</v>
      </c>
      <c r="O135">
        <v>-9</v>
      </c>
      <c r="P135">
        <v>-9</v>
      </c>
      <c r="Q135">
        <v>0</v>
      </c>
      <c r="R135">
        <v>1</v>
      </c>
      <c r="S135">
        <v>2</v>
      </c>
      <c r="T135">
        <v>2</v>
      </c>
      <c r="U135">
        <v>80</v>
      </c>
      <c r="V135">
        <v>20</v>
      </c>
      <c r="W135">
        <v>0</v>
      </c>
      <c r="X135">
        <v>2</v>
      </c>
      <c r="Z135">
        <v>2</v>
      </c>
      <c r="AA135">
        <v>1</v>
      </c>
      <c r="AB135">
        <v>1</v>
      </c>
      <c r="AC135">
        <v>6</v>
      </c>
      <c r="AD135">
        <v>3</v>
      </c>
      <c r="AE135">
        <v>2</v>
      </c>
      <c r="AF135">
        <v>1</v>
      </c>
      <c r="AG135">
        <v>1</v>
      </c>
      <c r="AH135">
        <v>8</v>
      </c>
      <c r="AI135" s="1">
        <v>3</v>
      </c>
    </row>
    <row r="136" spans="1:35">
      <c r="A136" s="9">
        <v>1614477</v>
      </c>
      <c r="B136">
        <v>2</v>
      </c>
      <c r="C136">
        <v>2</v>
      </c>
      <c r="D136">
        <v>5</v>
      </c>
      <c r="E136">
        <v>1079</v>
      </c>
      <c r="F136">
        <v>2005</v>
      </c>
      <c r="G136">
        <v>4</v>
      </c>
      <c r="H136">
        <v>1.6504706</v>
      </c>
      <c r="I136">
        <v>180000000</v>
      </c>
      <c r="J136">
        <v>-9</v>
      </c>
      <c r="K136">
        <v>82</v>
      </c>
      <c r="L136">
        <v>5</v>
      </c>
      <c r="M136">
        <v>5</v>
      </c>
      <c r="N136">
        <v>20000000</v>
      </c>
      <c r="O136">
        <v>-9</v>
      </c>
      <c r="P136">
        <v>50000000</v>
      </c>
      <c r="Q136">
        <v>0</v>
      </c>
      <c r="S136">
        <v>2</v>
      </c>
      <c r="T136">
        <v>2</v>
      </c>
      <c r="U136">
        <v>100</v>
      </c>
      <c r="V136">
        <v>0</v>
      </c>
      <c r="W136">
        <v>0</v>
      </c>
      <c r="X136">
        <v>2</v>
      </c>
      <c r="Z136">
        <v>2</v>
      </c>
      <c r="AA136">
        <v>2</v>
      </c>
      <c r="AB136">
        <v>2</v>
      </c>
      <c r="AD136">
        <v>1</v>
      </c>
      <c r="AE136">
        <v>0</v>
      </c>
      <c r="AF136">
        <v>0</v>
      </c>
      <c r="AG136">
        <v>-9</v>
      </c>
      <c r="AH136">
        <v>8</v>
      </c>
      <c r="AI136" s="1">
        <v>2</v>
      </c>
    </row>
    <row r="137" spans="1:35">
      <c r="A137" s="9">
        <v>1614480</v>
      </c>
      <c r="B137">
        <v>3</v>
      </c>
      <c r="C137">
        <v>2</v>
      </c>
      <c r="D137">
        <v>130</v>
      </c>
      <c r="E137">
        <v>1200</v>
      </c>
      <c r="F137">
        <v>2010</v>
      </c>
      <c r="G137">
        <v>30</v>
      </c>
      <c r="H137">
        <v>1.6637995999999999</v>
      </c>
      <c r="I137">
        <v>4000000000</v>
      </c>
      <c r="J137">
        <v>3700000000</v>
      </c>
      <c r="K137">
        <v>65</v>
      </c>
      <c r="L137">
        <v>130</v>
      </c>
      <c r="M137">
        <v>100</v>
      </c>
      <c r="N137">
        <v>500000000</v>
      </c>
      <c r="O137">
        <v>3000000000</v>
      </c>
      <c r="P137">
        <v>300000000</v>
      </c>
      <c r="Q137">
        <v>96</v>
      </c>
      <c r="R137">
        <v>1</v>
      </c>
      <c r="S137">
        <v>2</v>
      </c>
      <c r="T137">
        <v>2</v>
      </c>
      <c r="U137">
        <v>100</v>
      </c>
      <c r="V137">
        <v>0</v>
      </c>
      <c r="W137">
        <v>0</v>
      </c>
      <c r="X137">
        <v>2</v>
      </c>
      <c r="Z137">
        <v>2</v>
      </c>
      <c r="AA137">
        <v>2</v>
      </c>
      <c r="AB137">
        <v>1</v>
      </c>
      <c r="AC137">
        <v>12</v>
      </c>
      <c r="AD137">
        <v>2</v>
      </c>
      <c r="AE137">
        <v>2</v>
      </c>
      <c r="AF137">
        <v>0</v>
      </c>
      <c r="AG137">
        <v>1</v>
      </c>
      <c r="AH137">
        <v>8</v>
      </c>
      <c r="AI137" s="1">
        <v>4</v>
      </c>
    </row>
    <row r="138" spans="1:35">
      <c r="A138" s="9">
        <v>1614485</v>
      </c>
      <c r="B138">
        <v>1</v>
      </c>
      <c r="C138">
        <v>3</v>
      </c>
      <c r="D138">
        <v>1000</v>
      </c>
      <c r="E138">
        <v>1104</v>
      </c>
      <c r="F138">
        <v>1886</v>
      </c>
      <c r="G138">
        <v>10</v>
      </c>
      <c r="H138">
        <v>1.574964</v>
      </c>
      <c r="I138">
        <v>-9</v>
      </c>
      <c r="J138">
        <v>-9</v>
      </c>
      <c r="K138">
        <v>-9</v>
      </c>
      <c r="L138">
        <v>1000</v>
      </c>
      <c r="M138">
        <v>1000</v>
      </c>
      <c r="N138">
        <v>-9</v>
      </c>
      <c r="O138">
        <v>-9</v>
      </c>
      <c r="P138">
        <v>80000000000</v>
      </c>
      <c r="Q138">
        <v>0</v>
      </c>
      <c r="R138">
        <v>1</v>
      </c>
      <c r="S138">
        <v>2</v>
      </c>
      <c r="T138">
        <v>2</v>
      </c>
      <c r="U138">
        <v>100</v>
      </c>
      <c r="V138">
        <v>0</v>
      </c>
      <c r="W138">
        <v>0</v>
      </c>
      <c r="X138">
        <v>1</v>
      </c>
      <c r="Y138">
        <v>100000000</v>
      </c>
      <c r="Z138">
        <v>2</v>
      </c>
      <c r="AA138">
        <v>2</v>
      </c>
      <c r="AB138">
        <v>1</v>
      </c>
      <c r="AC138">
        <v>2</v>
      </c>
      <c r="AD138">
        <v>4</v>
      </c>
      <c r="AE138">
        <v>0</v>
      </c>
      <c r="AF138">
        <v>0</v>
      </c>
      <c r="AG138">
        <v>4</v>
      </c>
      <c r="AH138">
        <v>12</v>
      </c>
      <c r="AI138" s="1">
        <v>1</v>
      </c>
    </row>
    <row r="139" spans="1:35">
      <c r="A139" s="9">
        <v>1614493</v>
      </c>
      <c r="B139">
        <v>4</v>
      </c>
      <c r="C139">
        <v>1</v>
      </c>
      <c r="D139">
        <v>10</v>
      </c>
      <c r="E139">
        <v>1071</v>
      </c>
      <c r="F139">
        <v>2020</v>
      </c>
      <c r="G139">
        <v>10</v>
      </c>
      <c r="H139">
        <v>1.6450883999999999</v>
      </c>
      <c r="I139">
        <v>7200000</v>
      </c>
      <c r="J139">
        <v>4200000</v>
      </c>
      <c r="K139">
        <v>2</v>
      </c>
      <c r="L139">
        <v>5</v>
      </c>
      <c r="M139">
        <v>4</v>
      </c>
      <c r="N139">
        <v>-9</v>
      </c>
      <c r="O139">
        <v>5000000</v>
      </c>
      <c r="P139">
        <v>36400000</v>
      </c>
      <c r="Q139">
        <v>0</v>
      </c>
      <c r="S139">
        <v>2</v>
      </c>
      <c r="T139">
        <v>2</v>
      </c>
      <c r="U139">
        <v>70</v>
      </c>
      <c r="V139">
        <v>0</v>
      </c>
      <c r="W139">
        <v>10</v>
      </c>
      <c r="X139">
        <v>2</v>
      </c>
      <c r="Z139">
        <v>2</v>
      </c>
      <c r="AA139">
        <v>2</v>
      </c>
      <c r="AB139">
        <v>2</v>
      </c>
      <c r="AD139">
        <v>3</v>
      </c>
      <c r="AE139">
        <v>4</v>
      </c>
      <c r="AF139">
        <v>0</v>
      </c>
      <c r="AG139">
        <v>4</v>
      </c>
      <c r="AH139">
        <v>1</v>
      </c>
      <c r="AI139" s="1">
        <v>2</v>
      </c>
    </row>
    <row r="140" spans="1:35">
      <c r="A140" s="9">
        <v>1614494</v>
      </c>
      <c r="B140">
        <v>3</v>
      </c>
      <c r="C140">
        <v>1</v>
      </c>
      <c r="D140">
        <v>11</v>
      </c>
      <c r="E140">
        <v>1061</v>
      </c>
      <c r="F140">
        <v>2010</v>
      </c>
      <c r="G140">
        <v>15</v>
      </c>
      <c r="H140">
        <v>7.8952764999999996</v>
      </c>
      <c r="I140">
        <v>500000000</v>
      </c>
      <c r="J140">
        <v>450000000</v>
      </c>
      <c r="K140">
        <v>95</v>
      </c>
      <c r="L140">
        <v>10</v>
      </c>
      <c r="M140">
        <v>9</v>
      </c>
      <c r="N140">
        <v>59400000</v>
      </c>
      <c r="O140">
        <v>60000000</v>
      </c>
      <c r="P140">
        <v>80000000</v>
      </c>
      <c r="Q140">
        <v>0</v>
      </c>
      <c r="S140">
        <v>2</v>
      </c>
      <c r="T140">
        <v>2</v>
      </c>
      <c r="U140">
        <v>70</v>
      </c>
      <c r="V140">
        <v>0</v>
      </c>
      <c r="W140">
        <v>10</v>
      </c>
      <c r="X140">
        <v>2</v>
      </c>
      <c r="Z140">
        <v>2</v>
      </c>
      <c r="AA140">
        <v>2</v>
      </c>
      <c r="AB140">
        <v>1</v>
      </c>
      <c r="AC140">
        <v>5</v>
      </c>
      <c r="AD140">
        <v>3</v>
      </c>
      <c r="AE140">
        <v>4</v>
      </c>
      <c r="AF140">
        <v>0</v>
      </c>
      <c r="AG140">
        <v>1</v>
      </c>
      <c r="AH140">
        <v>1</v>
      </c>
      <c r="AI140" s="1">
        <v>1</v>
      </c>
    </row>
    <row r="141" spans="1:35">
      <c r="A141" s="9">
        <v>1614495</v>
      </c>
      <c r="B141">
        <v>1</v>
      </c>
      <c r="C141">
        <v>3</v>
      </c>
      <c r="D141">
        <v>400</v>
      </c>
      <c r="E141">
        <v>1071</v>
      </c>
      <c r="F141">
        <v>2010</v>
      </c>
      <c r="G141">
        <v>10</v>
      </c>
      <c r="H141">
        <v>1.5688179</v>
      </c>
      <c r="I141">
        <v>50000000000</v>
      </c>
      <c r="J141">
        <v>60000000000</v>
      </c>
      <c r="K141">
        <v>80</v>
      </c>
      <c r="L141">
        <v>150</v>
      </c>
      <c r="M141">
        <v>90</v>
      </c>
      <c r="N141">
        <v>1000000000</v>
      </c>
      <c r="O141">
        <v>20000000000</v>
      </c>
      <c r="P141">
        <v>50000000000</v>
      </c>
      <c r="Q141">
        <v>0</v>
      </c>
      <c r="R141">
        <v>1</v>
      </c>
      <c r="S141">
        <v>1</v>
      </c>
      <c r="T141">
        <v>1</v>
      </c>
      <c r="U141">
        <v>50</v>
      </c>
      <c r="V141">
        <v>20</v>
      </c>
      <c r="W141">
        <v>30</v>
      </c>
      <c r="X141">
        <v>1</v>
      </c>
      <c r="Y141">
        <v>25000000</v>
      </c>
      <c r="Z141">
        <v>2</v>
      </c>
      <c r="AA141">
        <v>2</v>
      </c>
      <c r="AB141">
        <v>1</v>
      </c>
      <c r="AC141">
        <v>30</v>
      </c>
      <c r="AD141">
        <v>0</v>
      </c>
      <c r="AE141">
        <v>0</v>
      </c>
      <c r="AF141">
        <v>1</v>
      </c>
      <c r="AG141">
        <v>2</v>
      </c>
      <c r="AH141">
        <v>12</v>
      </c>
      <c r="AI141" s="1">
        <v>1</v>
      </c>
    </row>
    <row r="142" spans="1:35">
      <c r="A142" s="9">
        <v>1614496</v>
      </c>
      <c r="B142">
        <v>3</v>
      </c>
      <c r="C142">
        <v>1</v>
      </c>
      <c r="D142">
        <v>8</v>
      </c>
      <c r="E142">
        <v>1071</v>
      </c>
      <c r="F142">
        <v>2016</v>
      </c>
      <c r="G142">
        <v>9</v>
      </c>
      <c r="H142">
        <v>7.8952764999999996</v>
      </c>
      <c r="I142">
        <v>38000000</v>
      </c>
      <c r="J142">
        <v>32650000</v>
      </c>
      <c r="K142">
        <v>50</v>
      </c>
      <c r="L142">
        <v>5</v>
      </c>
      <c r="M142">
        <v>5</v>
      </c>
      <c r="N142">
        <v>15000000</v>
      </c>
      <c r="O142">
        <v>10000000</v>
      </c>
      <c r="P142">
        <v>18000000</v>
      </c>
      <c r="Q142">
        <v>0</v>
      </c>
      <c r="S142">
        <v>1</v>
      </c>
      <c r="T142">
        <v>2</v>
      </c>
      <c r="U142">
        <v>70</v>
      </c>
      <c r="V142">
        <v>0</v>
      </c>
      <c r="W142">
        <v>0</v>
      </c>
      <c r="X142">
        <v>2</v>
      </c>
      <c r="Z142">
        <v>2</v>
      </c>
      <c r="AA142">
        <v>2</v>
      </c>
      <c r="AB142">
        <v>1</v>
      </c>
      <c r="AC142">
        <v>4</v>
      </c>
      <c r="AD142">
        <v>3</v>
      </c>
      <c r="AE142">
        <v>3</v>
      </c>
      <c r="AF142">
        <v>0</v>
      </c>
      <c r="AG142">
        <v>2</v>
      </c>
      <c r="AH142">
        <v>1</v>
      </c>
      <c r="AI142" s="1">
        <v>2</v>
      </c>
    </row>
    <row r="143" spans="1:35">
      <c r="A143" s="9">
        <v>1614501</v>
      </c>
      <c r="B143">
        <v>4</v>
      </c>
      <c r="C143">
        <v>1</v>
      </c>
      <c r="D143">
        <v>80</v>
      </c>
      <c r="E143">
        <v>1040</v>
      </c>
      <c r="F143">
        <v>2011</v>
      </c>
      <c r="G143">
        <v>4</v>
      </c>
      <c r="H143">
        <v>1.6450883999999999</v>
      </c>
      <c r="I143">
        <v>400000000</v>
      </c>
      <c r="J143">
        <v>300000000</v>
      </c>
      <c r="K143">
        <v>80</v>
      </c>
      <c r="L143">
        <v>80</v>
      </c>
      <c r="M143">
        <v>60</v>
      </c>
      <c r="N143">
        <v>150000000</v>
      </c>
      <c r="O143">
        <v>100000000</v>
      </c>
      <c r="P143">
        <v>800000000</v>
      </c>
      <c r="Q143">
        <v>0</v>
      </c>
      <c r="R143">
        <v>1</v>
      </c>
      <c r="S143">
        <v>2</v>
      </c>
      <c r="T143">
        <v>2</v>
      </c>
      <c r="U143">
        <v>60</v>
      </c>
      <c r="V143">
        <v>0</v>
      </c>
      <c r="W143">
        <v>30</v>
      </c>
      <c r="X143">
        <v>2</v>
      </c>
      <c r="Z143">
        <v>2</v>
      </c>
      <c r="AA143">
        <v>2</v>
      </c>
      <c r="AB143">
        <v>1</v>
      </c>
      <c r="AC143">
        <v>4</v>
      </c>
      <c r="AD143">
        <v>2</v>
      </c>
      <c r="AE143">
        <v>1</v>
      </c>
      <c r="AF143">
        <v>1</v>
      </c>
      <c r="AG143">
        <v>0</v>
      </c>
      <c r="AH143">
        <v>12</v>
      </c>
      <c r="AI143" s="1">
        <v>4</v>
      </c>
    </row>
    <row r="144" spans="1:35">
      <c r="A144" s="9">
        <v>1614504</v>
      </c>
      <c r="B144">
        <v>4</v>
      </c>
      <c r="C144">
        <v>1</v>
      </c>
      <c r="D144">
        <v>15</v>
      </c>
      <c r="E144">
        <v>1040</v>
      </c>
      <c r="F144">
        <v>2013</v>
      </c>
      <c r="G144">
        <v>15</v>
      </c>
      <c r="H144">
        <v>1.6450883999999999</v>
      </c>
      <c r="I144">
        <v>100000000</v>
      </c>
      <c r="J144">
        <v>80000000</v>
      </c>
      <c r="K144">
        <v>100</v>
      </c>
      <c r="L144">
        <v>15</v>
      </c>
      <c r="M144">
        <v>6</v>
      </c>
      <c r="N144">
        <v>30000000</v>
      </c>
      <c r="O144">
        <v>150000000</v>
      </c>
      <c r="P144">
        <v>300000000</v>
      </c>
      <c r="Q144">
        <v>0</v>
      </c>
      <c r="S144">
        <v>2</v>
      </c>
      <c r="T144">
        <v>2</v>
      </c>
      <c r="U144">
        <v>60</v>
      </c>
      <c r="V144">
        <v>0</v>
      </c>
      <c r="W144">
        <v>20</v>
      </c>
      <c r="X144">
        <v>1</v>
      </c>
      <c r="Y144">
        <v>25000000</v>
      </c>
      <c r="Z144">
        <v>2</v>
      </c>
      <c r="AA144">
        <v>2</v>
      </c>
      <c r="AB144">
        <v>1</v>
      </c>
      <c r="AC144">
        <v>4</v>
      </c>
      <c r="AD144">
        <v>2</v>
      </c>
      <c r="AE144">
        <v>3</v>
      </c>
      <c r="AF144">
        <v>0</v>
      </c>
      <c r="AG144">
        <v>4</v>
      </c>
      <c r="AH144">
        <v>12</v>
      </c>
      <c r="AI144" s="1">
        <v>4</v>
      </c>
    </row>
    <row r="145" spans="1:35">
      <c r="A145" s="9">
        <v>1614507</v>
      </c>
      <c r="B145">
        <v>2</v>
      </c>
      <c r="C145">
        <v>2</v>
      </c>
      <c r="D145">
        <v>20</v>
      </c>
      <c r="E145">
        <v>1071</v>
      </c>
      <c r="F145">
        <v>2021</v>
      </c>
      <c r="G145">
        <v>10</v>
      </c>
      <c r="H145">
        <v>1.6504706</v>
      </c>
      <c r="I145">
        <v>444000000</v>
      </c>
      <c r="J145">
        <v>180000000</v>
      </c>
      <c r="K145">
        <v>50</v>
      </c>
      <c r="L145">
        <v>13</v>
      </c>
      <c r="M145">
        <v>13</v>
      </c>
      <c r="N145">
        <v>15000000</v>
      </c>
      <c r="O145">
        <v>360000000</v>
      </c>
      <c r="P145">
        <v>45000000</v>
      </c>
      <c r="Q145">
        <v>0</v>
      </c>
      <c r="R145">
        <v>1</v>
      </c>
      <c r="S145">
        <v>1</v>
      </c>
      <c r="T145">
        <v>1</v>
      </c>
      <c r="U145">
        <v>50</v>
      </c>
      <c r="V145">
        <v>0</v>
      </c>
      <c r="W145">
        <v>30</v>
      </c>
      <c r="X145">
        <v>2</v>
      </c>
      <c r="Z145">
        <v>1</v>
      </c>
      <c r="AA145">
        <v>2</v>
      </c>
      <c r="AB145">
        <v>2</v>
      </c>
      <c r="AD145">
        <v>4</v>
      </c>
      <c r="AE145">
        <v>3</v>
      </c>
      <c r="AF145">
        <v>2</v>
      </c>
      <c r="AG145">
        <v>2</v>
      </c>
      <c r="AH145">
        <v>6</v>
      </c>
      <c r="AI145" s="1">
        <v>4</v>
      </c>
    </row>
    <row r="146" spans="1:35">
      <c r="A146" s="9">
        <v>1614513</v>
      </c>
      <c r="B146">
        <v>1</v>
      </c>
      <c r="C146">
        <v>1</v>
      </c>
      <c r="D146">
        <v>6</v>
      </c>
      <c r="E146">
        <v>1410</v>
      </c>
      <c r="F146">
        <v>2007</v>
      </c>
      <c r="G146">
        <v>12</v>
      </c>
      <c r="H146">
        <v>259.94695999999999</v>
      </c>
      <c r="I146">
        <v>219000000</v>
      </c>
      <c r="J146">
        <v>113000000</v>
      </c>
      <c r="K146">
        <v>100</v>
      </c>
      <c r="L146">
        <v>6</v>
      </c>
      <c r="M146">
        <v>4</v>
      </c>
      <c r="N146">
        <v>4000000</v>
      </c>
      <c r="O146">
        <v>100000000</v>
      </c>
      <c r="P146">
        <v>220000000</v>
      </c>
      <c r="Q146">
        <v>0</v>
      </c>
      <c r="S146">
        <v>2</v>
      </c>
      <c r="T146">
        <v>2</v>
      </c>
      <c r="U146">
        <v>20</v>
      </c>
      <c r="V146">
        <v>80</v>
      </c>
      <c r="W146">
        <v>0</v>
      </c>
      <c r="X146">
        <v>2</v>
      </c>
      <c r="Z146">
        <v>2</v>
      </c>
      <c r="AA146">
        <v>2</v>
      </c>
      <c r="AB146">
        <v>1</v>
      </c>
      <c r="AC146">
        <v>4</v>
      </c>
      <c r="AD146">
        <v>3</v>
      </c>
      <c r="AE146">
        <v>4</v>
      </c>
      <c r="AF146">
        <v>0</v>
      </c>
      <c r="AG146">
        <v>0</v>
      </c>
      <c r="AH146">
        <v>1</v>
      </c>
      <c r="AI146" s="1">
        <v>2</v>
      </c>
    </row>
    <row r="147" spans="1:35">
      <c r="A147" s="9">
        <v>1614518</v>
      </c>
      <c r="B147">
        <v>4</v>
      </c>
      <c r="C147">
        <v>1</v>
      </c>
      <c r="D147">
        <v>55</v>
      </c>
      <c r="E147">
        <v>1071</v>
      </c>
      <c r="F147">
        <v>2014</v>
      </c>
      <c r="G147">
        <v>15</v>
      </c>
      <c r="H147">
        <v>1.6450883999999999</v>
      </c>
      <c r="I147">
        <v>3600000000</v>
      </c>
      <c r="J147">
        <v>-9</v>
      </c>
      <c r="K147">
        <v>3</v>
      </c>
      <c r="L147">
        <v>6</v>
      </c>
      <c r="M147">
        <v>4</v>
      </c>
      <c r="N147">
        <v>144000000</v>
      </c>
      <c r="O147">
        <v>2520000000</v>
      </c>
      <c r="P147">
        <v>300000000</v>
      </c>
      <c r="Q147">
        <v>0</v>
      </c>
      <c r="R147">
        <v>1</v>
      </c>
      <c r="S147">
        <v>1</v>
      </c>
      <c r="T147">
        <v>1</v>
      </c>
      <c r="U147">
        <v>80</v>
      </c>
      <c r="V147">
        <v>0</v>
      </c>
      <c r="W147">
        <v>10</v>
      </c>
      <c r="X147">
        <v>1</v>
      </c>
      <c r="Y147">
        <v>150000000</v>
      </c>
      <c r="Z147">
        <v>2</v>
      </c>
      <c r="AA147">
        <v>2</v>
      </c>
      <c r="AB147">
        <v>1</v>
      </c>
      <c r="AC147">
        <v>0</v>
      </c>
      <c r="AD147">
        <v>3</v>
      </c>
      <c r="AE147">
        <v>3</v>
      </c>
      <c r="AF147">
        <v>2</v>
      </c>
      <c r="AG147">
        <v>2</v>
      </c>
      <c r="AH147">
        <v>15</v>
      </c>
      <c r="AI147" s="1">
        <v>2</v>
      </c>
    </row>
    <row r="148" spans="1:35">
      <c r="A148" s="9">
        <v>1614519</v>
      </c>
      <c r="B148">
        <v>3</v>
      </c>
      <c r="C148">
        <v>2</v>
      </c>
      <c r="D148">
        <v>6</v>
      </c>
      <c r="E148">
        <v>2511</v>
      </c>
      <c r="F148">
        <v>2005</v>
      </c>
      <c r="G148">
        <v>30</v>
      </c>
      <c r="H148">
        <v>1.6637995999999999</v>
      </c>
      <c r="I148">
        <v>15000000</v>
      </c>
      <c r="J148">
        <v>12500000</v>
      </c>
      <c r="K148">
        <v>75</v>
      </c>
      <c r="L148">
        <v>3</v>
      </c>
      <c r="M148">
        <v>3</v>
      </c>
      <c r="N148">
        <v>7000000</v>
      </c>
      <c r="O148">
        <v>9000000</v>
      </c>
      <c r="P148">
        <v>4000000</v>
      </c>
      <c r="Q148">
        <v>0</v>
      </c>
      <c r="S148">
        <v>1</v>
      </c>
      <c r="T148">
        <v>2</v>
      </c>
      <c r="U148">
        <v>60</v>
      </c>
      <c r="V148">
        <v>0</v>
      </c>
      <c r="W148">
        <v>0</v>
      </c>
      <c r="X148">
        <v>2</v>
      </c>
      <c r="Z148">
        <v>2</v>
      </c>
      <c r="AA148">
        <v>2</v>
      </c>
      <c r="AB148">
        <v>1</v>
      </c>
      <c r="AC148">
        <v>12</v>
      </c>
      <c r="AD148">
        <v>3</v>
      </c>
      <c r="AE148">
        <v>4</v>
      </c>
      <c r="AF148">
        <v>0</v>
      </c>
      <c r="AG148">
        <v>3</v>
      </c>
      <c r="AH148">
        <v>1</v>
      </c>
      <c r="AI148" s="1">
        <v>2</v>
      </c>
    </row>
    <row r="149" spans="1:35">
      <c r="A149" s="9">
        <v>1614520</v>
      </c>
      <c r="B149">
        <v>1</v>
      </c>
      <c r="C149">
        <v>3</v>
      </c>
      <c r="D149">
        <v>150</v>
      </c>
      <c r="E149">
        <v>1071</v>
      </c>
      <c r="F149">
        <v>2012</v>
      </c>
      <c r="G149">
        <v>20</v>
      </c>
      <c r="H149">
        <v>1.5688179</v>
      </c>
      <c r="I149">
        <v>800000000</v>
      </c>
      <c r="J149">
        <v>150000000</v>
      </c>
      <c r="K149">
        <v>100</v>
      </c>
      <c r="L149">
        <v>150</v>
      </c>
      <c r="M149">
        <v>40</v>
      </c>
      <c r="N149">
        <v>400000000</v>
      </c>
      <c r="O149">
        <v>150000000</v>
      </c>
      <c r="P149">
        <v>150000000000</v>
      </c>
      <c r="Q149">
        <v>20</v>
      </c>
      <c r="R149">
        <v>1</v>
      </c>
      <c r="S149">
        <v>1</v>
      </c>
      <c r="T149">
        <v>2</v>
      </c>
      <c r="U149">
        <v>70</v>
      </c>
      <c r="V149">
        <v>0</v>
      </c>
      <c r="W149">
        <v>0</v>
      </c>
      <c r="X149">
        <v>2</v>
      </c>
      <c r="Z149">
        <v>2</v>
      </c>
      <c r="AA149">
        <v>2</v>
      </c>
      <c r="AB149">
        <v>1</v>
      </c>
      <c r="AC149">
        <v>4</v>
      </c>
      <c r="AD149">
        <v>0</v>
      </c>
      <c r="AE149">
        <v>1</v>
      </c>
      <c r="AF149">
        <v>0</v>
      </c>
      <c r="AG149">
        <v>0</v>
      </c>
      <c r="AH149">
        <v>14</v>
      </c>
      <c r="AI149" s="1">
        <v>4</v>
      </c>
    </row>
    <row r="150" spans="1:35">
      <c r="A150" s="9">
        <v>1614522</v>
      </c>
      <c r="B150">
        <v>2</v>
      </c>
      <c r="C150">
        <v>3</v>
      </c>
      <c r="D150">
        <v>364</v>
      </c>
      <c r="E150">
        <v>1072</v>
      </c>
      <c r="F150">
        <v>2019</v>
      </c>
      <c r="G150">
        <v>10</v>
      </c>
      <c r="H150">
        <v>1.3089461</v>
      </c>
      <c r="I150">
        <v>21000000000</v>
      </c>
      <c r="J150">
        <v>18000000000</v>
      </c>
      <c r="K150">
        <v>80</v>
      </c>
      <c r="L150">
        <v>262</v>
      </c>
      <c r="M150">
        <v>164</v>
      </c>
      <c r="N150">
        <v>1824000000</v>
      </c>
      <c r="O150">
        <v>-9</v>
      </c>
      <c r="P150">
        <v>10000000000</v>
      </c>
      <c r="Q150">
        <v>20</v>
      </c>
      <c r="R150">
        <v>1</v>
      </c>
      <c r="S150">
        <v>1</v>
      </c>
      <c r="T150">
        <v>2</v>
      </c>
      <c r="U150">
        <v>60</v>
      </c>
      <c r="V150">
        <v>0</v>
      </c>
      <c r="W150">
        <v>0</v>
      </c>
      <c r="X150">
        <v>1</v>
      </c>
      <c r="Y150">
        <v>-9</v>
      </c>
      <c r="Z150">
        <v>2</v>
      </c>
      <c r="AA150">
        <v>2</v>
      </c>
      <c r="AB150">
        <v>2</v>
      </c>
      <c r="AD150">
        <v>1</v>
      </c>
      <c r="AE150">
        <v>1</v>
      </c>
      <c r="AF150">
        <v>0</v>
      </c>
      <c r="AG150">
        <v>2</v>
      </c>
      <c r="AH150">
        <v>12</v>
      </c>
      <c r="AI150" s="1">
        <v>4</v>
      </c>
    </row>
    <row r="151" spans="1:35">
      <c r="A151" s="9">
        <v>1614523</v>
      </c>
      <c r="B151">
        <v>3</v>
      </c>
      <c r="C151">
        <v>1</v>
      </c>
      <c r="D151">
        <v>6</v>
      </c>
      <c r="E151">
        <v>2511</v>
      </c>
      <c r="F151">
        <v>2006</v>
      </c>
      <c r="G151">
        <v>27</v>
      </c>
      <c r="H151">
        <v>68.513819999999996</v>
      </c>
      <c r="I151">
        <v>26000000</v>
      </c>
      <c r="J151">
        <v>28000000</v>
      </c>
      <c r="K151">
        <v>100</v>
      </c>
      <c r="L151">
        <v>6</v>
      </c>
      <c r="M151">
        <v>8</v>
      </c>
      <c r="N151">
        <v>7200000</v>
      </c>
      <c r="O151">
        <v>18000000</v>
      </c>
      <c r="P151">
        <v>8000000</v>
      </c>
      <c r="Q151">
        <v>0</v>
      </c>
      <c r="S151">
        <v>2</v>
      </c>
      <c r="T151">
        <v>2</v>
      </c>
      <c r="U151">
        <v>80</v>
      </c>
      <c r="V151">
        <v>0</v>
      </c>
      <c r="W151">
        <v>0</v>
      </c>
      <c r="X151">
        <v>2</v>
      </c>
      <c r="Z151">
        <v>2</v>
      </c>
      <c r="AA151">
        <v>2</v>
      </c>
      <c r="AB151">
        <v>1</v>
      </c>
      <c r="AC151">
        <v>11</v>
      </c>
      <c r="AD151">
        <v>3</v>
      </c>
      <c r="AE151">
        <v>4</v>
      </c>
      <c r="AF151">
        <v>1</v>
      </c>
      <c r="AG151">
        <v>3</v>
      </c>
      <c r="AH151">
        <v>1</v>
      </c>
      <c r="AI151" s="1">
        <v>4</v>
      </c>
    </row>
    <row r="152" spans="1:35">
      <c r="A152" s="9">
        <v>1614524</v>
      </c>
      <c r="B152">
        <v>2</v>
      </c>
      <c r="C152">
        <v>2</v>
      </c>
      <c r="D152">
        <v>175</v>
      </c>
      <c r="E152">
        <v>1061</v>
      </c>
      <c r="F152">
        <v>2013</v>
      </c>
      <c r="G152">
        <v>-9</v>
      </c>
      <c r="H152">
        <v>1.6504706</v>
      </c>
      <c r="I152">
        <v>-9</v>
      </c>
      <c r="J152">
        <v>-9</v>
      </c>
      <c r="K152">
        <v>85</v>
      </c>
      <c r="L152">
        <v>25</v>
      </c>
      <c r="M152">
        <v>25</v>
      </c>
      <c r="N152">
        <v>-9</v>
      </c>
      <c r="O152">
        <v>-9</v>
      </c>
      <c r="P152">
        <v>-9</v>
      </c>
      <c r="Q152">
        <v>15</v>
      </c>
      <c r="R152">
        <v>1</v>
      </c>
      <c r="S152">
        <v>2</v>
      </c>
      <c r="T152">
        <v>2</v>
      </c>
      <c r="U152">
        <v>-9</v>
      </c>
      <c r="V152">
        <v>-9</v>
      </c>
      <c r="W152">
        <v>-9</v>
      </c>
      <c r="X152">
        <v>1</v>
      </c>
      <c r="Y152">
        <v>-9</v>
      </c>
      <c r="Z152">
        <v>1</v>
      </c>
      <c r="AA152">
        <v>1</v>
      </c>
      <c r="AB152">
        <v>1</v>
      </c>
      <c r="AC152">
        <v>-9</v>
      </c>
      <c r="AD152">
        <v>1</v>
      </c>
      <c r="AE152">
        <v>1</v>
      </c>
      <c r="AF152">
        <v>1</v>
      </c>
      <c r="AG152">
        <v>0</v>
      </c>
      <c r="AH152">
        <v>6</v>
      </c>
      <c r="AI152" s="1">
        <v>2</v>
      </c>
    </row>
    <row r="153" spans="1:35">
      <c r="A153" s="9">
        <v>1614525</v>
      </c>
      <c r="B153">
        <v>1</v>
      </c>
      <c r="C153">
        <v>3</v>
      </c>
      <c r="D153">
        <v>350</v>
      </c>
      <c r="E153">
        <v>2410</v>
      </c>
      <c r="F153">
        <v>2000</v>
      </c>
      <c r="G153">
        <v>25</v>
      </c>
      <c r="H153">
        <v>1.574964</v>
      </c>
      <c r="I153">
        <v>365000000000</v>
      </c>
      <c r="J153">
        <v>255500000000</v>
      </c>
      <c r="K153">
        <v>15</v>
      </c>
      <c r="L153">
        <v>350</v>
      </c>
      <c r="M153">
        <v>245</v>
      </c>
      <c r="N153">
        <v>24000000000</v>
      </c>
      <c r="O153">
        <v>350000000000</v>
      </c>
      <c r="P153">
        <v>100000000000</v>
      </c>
      <c r="Q153">
        <v>15</v>
      </c>
      <c r="R153">
        <v>1</v>
      </c>
      <c r="S153">
        <v>2</v>
      </c>
      <c r="T153">
        <v>2</v>
      </c>
      <c r="U153">
        <v>80</v>
      </c>
      <c r="V153">
        <v>0</v>
      </c>
      <c r="W153">
        <v>0</v>
      </c>
      <c r="X153">
        <v>2</v>
      </c>
      <c r="Z153">
        <v>2</v>
      </c>
      <c r="AA153">
        <v>2</v>
      </c>
      <c r="AB153">
        <v>-9</v>
      </c>
      <c r="AD153">
        <v>4</v>
      </c>
      <c r="AE153">
        <v>0</v>
      </c>
      <c r="AF153">
        <v>1</v>
      </c>
      <c r="AG153">
        <v>1</v>
      </c>
      <c r="AH153">
        <v>8</v>
      </c>
      <c r="AI153" s="1">
        <v>2</v>
      </c>
    </row>
    <row r="154" spans="1:35">
      <c r="A154" s="9">
        <v>1614527</v>
      </c>
      <c r="B154">
        <v>1</v>
      </c>
      <c r="C154">
        <v>3</v>
      </c>
      <c r="D154">
        <v>200</v>
      </c>
      <c r="E154">
        <v>2392</v>
      </c>
      <c r="F154">
        <v>2003</v>
      </c>
      <c r="G154">
        <v>26</v>
      </c>
      <c r="H154">
        <v>1.574964</v>
      </c>
      <c r="I154">
        <v>3000000000</v>
      </c>
      <c r="J154">
        <v>2000000000</v>
      </c>
      <c r="K154">
        <v>98</v>
      </c>
      <c r="L154">
        <v>200</v>
      </c>
      <c r="M154">
        <v>100</v>
      </c>
      <c r="N154">
        <v>380000000</v>
      </c>
      <c r="O154">
        <v>1800000000</v>
      </c>
      <c r="P154">
        <v>7000000000</v>
      </c>
      <c r="Q154">
        <v>0</v>
      </c>
      <c r="R154">
        <v>1</v>
      </c>
      <c r="S154">
        <v>1</v>
      </c>
      <c r="T154">
        <v>2</v>
      </c>
      <c r="U154">
        <v>70</v>
      </c>
      <c r="V154">
        <v>0</v>
      </c>
      <c r="W154">
        <v>20</v>
      </c>
      <c r="X154">
        <v>2</v>
      </c>
      <c r="Z154">
        <v>2</v>
      </c>
      <c r="AA154">
        <v>2</v>
      </c>
      <c r="AB154">
        <v>1</v>
      </c>
      <c r="AC154">
        <v>6</v>
      </c>
      <c r="AD154">
        <v>0</v>
      </c>
      <c r="AE154">
        <v>1</v>
      </c>
      <c r="AF154">
        <v>0</v>
      </c>
      <c r="AG154">
        <v>0</v>
      </c>
      <c r="AH154">
        <v>14</v>
      </c>
      <c r="AI154" s="1">
        <v>4</v>
      </c>
    </row>
    <row r="155" spans="1:35">
      <c r="A155" s="9">
        <v>1614531</v>
      </c>
      <c r="B155">
        <v>1</v>
      </c>
      <c r="C155">
        <v>1</v>
      </c>
      <c r="D155">
        <v>15</v>
      </c>
      <c r="E155">
        <v>1079</v>
      </c>
      <c r="F155">
        <v>1999</v>
      </c>
      <c r="G155">
        <v>20</v>
      </c>
      <c r="H155">
        <v>30.085899999999999</v>
      </c>
      <c r="I155">
        <v>300000000</v>
      </c>
      <c r="J155">
        <v>150000000</v>
      </c>
      <c r="K155">
        <v>90</v>
      </c>
      <c r="L155">
        <v>15</v>
      </c>
      <c r="M155">
        <v>6</v>
      </c>
      <c r="N155">
        <v>95000000</v>
      </c>
      <c r="O155">
        <v>200000000</v>
      </c>
      <c r="P155">
        <v>500000000</v>
      </c>
      <c r="Q155">
        <v>0</v>
      </c>
      <c r="S155">
        <v>2</v>
      </c>
      <c r="T155">
        <v>2</v>
      </c>
      <c r="U155">
        <v>60</v>
      </c>
      <c r="V155">
        <v>0</v>
      </c>
      <c r="W155">
        <v>40</v>
      </c>
      <c r="X155">
        <v>2</v>
      </c>
      <c r="Z155">
        <v>2</v>
      </c>
      <c r="AA155">
        <v>2</v>
      </c>
      <c r="AB155">
        <v>2</v>
      </c>
      <c r="AD155">
        <v>1</v>
      </c>
      <c r="AE155">
        <v>1</v>
      </c>
      <c r="AF155">
        <v>1</v>
      </c>
      <c r="AG155">
        <v>1</v>
      </c>
      <c r="AH155">
        <v>14</v>
      </c>
      <c r="AI155" s="1">
        <v>4</v>
      </c>
    </row>
    <row r="156" spans="1:35">
      <c r="A156" s="9">
        <v>1614533</v>
      </c>
      <c r="B156">
        <v>2</v>
      </c>
      <c r="C156">
        <v>1</v>
      </c>
      <c r="D156">
        <v>10</v>
      </c>
      <c r="E156">
        <v>2511</v>
      </c>
      <c r="F156">
        <v>2021</v>
      </c>
      <c r="G156">
        <v>10</v>
      </c>
      <c r="H156">
        <v>64.973600000000005</v>
      </c>
      <c r="I156">
        <v>45000000</v>
      </c>
      <c r="J156">
        <v>30000000</v>
      </c>
      <c r="K156">
        <v>3</v>
      </c>
      <c r="L156">
        <v>8</v>
      </c>
      <c r="M156">
        <v>6</v>
      </c>
      <c r="N156">
        <v>1000000</v>
      </c>
      <c r="O156">
        <v>30000000</v>
      </c>
      <c r="P156">
        <v>13500000</v>
      </c>
      <c r="Q156">
        <v>0</v>
      </c>
      <c r="S156">
        <v>1</v>
      </c>
      <c r="T156">
        <v>1</v>
      </c>
      <c r="U156">
        <v>40</v>
      </c>
      <c r="V156">
        <v>20</v>
      </c>
      <c r="W156">
        <v>40</v>
      </c>
      <c r="X156">
        <v>1</v>
      </c>
      <c r="Y156">
        <v>19000000</v>
      </c>
      <c r="Z156">
        <v>1</v>
      </c>
      <c r="AA156">
        <v>1</v>
      </c>
      <c r="AB156">
        <v>1</v>
      </c>
      <c r="AC156">
        <v>12</v>
      </c>
      <c r="AD156">
        <v>3</v>
      </c>
      <c r="AE156">
        <v>0</v>
      </c>
      <c r="AF156">
        <v>3</v>
      </c>
      <c r="AG156">
        <v>3</v>
      </c>
      <c r="AH156">
        <v>2</v>
      </c>
      <c r="AI156" s="1">
        <v>2</v>
      </c>
    </row>
    <row r="157" spans="1:35">
      <c r="A157" s="9">
        <v>1614546</v>
      </c>
      <c r="B157">
        <v>1</v>
      </c>
      <c r="C157">
        <v>3</v>
      </c>
      <c r="D157">
        <v>40</v>
      </c>
      <c r="E157">
        <v>2029</v>
      </c>
      <c r="F157">
        <v>2000</v>
      </c>
      <c r="G157">
        <v>15</v>
      </c>
      <c r="H157">
        <v>1.574964</v>
      </c>
      <c r="I157">
        <v>100000000</v>
      </c>
      <c r="J157">
        <v>50000000</v>
      </c>
      <c r="K157">
        <v>70</v>
      </c>
      <c r="L157">
        <v>25</v>
      </c>
      <c r="M157">
        <v>10</v>
      </c>
      <c r="N157">
        <v>30000000</v>
      </c>
      <c r="O157">
        <v>40000000</v>
      </c>
      <c r="P157">
        <v>300000000</v>
      </c>
      <c r="Q157">
        <v>0</v>
      </c>
      <c r="R157">
        <v>1</v>
      </c>
      <c r="S157">
        <v>2</v>
      </c>
      <c r="T157">
        <v>2</v>
      </c>
      <c r="U157">
        <v>50</v>
      </c>
      <c r="V157">
        <v>0</v>
      </c>
      <c r="W157">
        <v>50</v>
      </c>
      <c r="X157">
        <v>2</v>
      </c>
      <c r="Z157">
        <v>2</v>
      </c>
      <c r="AA157">
        <v>2</v>
      </c>
      <c r="AB157">
        <v>2</v>
      </c>
      <c r="AD157">
        <v>2</v>
      </c>
      <c r="AE157">
        <v>1</v>
      </c>
      <c r="AF157">
        <v>1</v>
      </c>
      <c r="AG157">
        <v>2</v>
      </c>
      <c r="AH157">
        <v>14</v>
      </c>
      <c r="AI157" s="1">
        <v>4</v>
      </c>
    </row>
    <row r="158" spans="1:35">
      <c r="A158" s="9">
        <v>1614558</v>
      </c>
      <c r="B158">
        <v>4</v>
      </c>
      <c r="C158">
        <v>1</v>
      </c>
      <c r="D158">
        <v>20</v>
      </c>
      <c r="E158">
        <v>1061</v>
      </c>
      <c r="F158">
        <v>2011</v>
      </c>
      <c r="G158">
        <v>10</v>
      </c>
      <c r="H158">
        <v>1.6450883999999999</v>
      </c>
      <c r="I158">
        <v>25000000</v>
      </c>
      <c r="J158">
        <v>26000000</v>
      </c>
      <c r="K158">
        <v>100</v>
      </c>
      <c r="L158">
        <v>5</v>
      </c>
      <c r="M158">
        <v>5</v>
      </c>
      <c r="N158">
        <v>12000000</v>
      </c>
      <c r="O158">
        <v>20000000</v>
      </c>
      <c r="P158">
        <v>10000000</v>
      </c>
      <c r="Q158">
        <v>0</v>
      </c>
      <c r="R158">
        <v>1</v>
      </c>
      <c r="S158">
        <v>2</v>
      </c>
      <c r="T158">
        <v>2</v>
      </c>
      <c r="U158">
        <v>100</v>
      </c>
      <c r="V158">
        <v>0</v>
      </c>
      <c r="W158">
        <v>0</v>
      </c>
      <c r="X158">
        <v>2</v>
      </c>
      <c r="Z158">
        <v>1</v>
      </c>
      <c r="AA158">
        <v>1</v>
      </c>
      <c r="AB158">
        <v>1</v>
      </c>
      <c r="AC158">
        <v>6</v>
      </c>
      <c r="AD158">
        <v>4</v>
      </c>
      <c r="AE158">
        <v>2</v>
      </c>
      <c r="AF158">
        <v>1</v>
      </c>
      <c r="AG158">
        <v>2</v>
      </c>
      <c r="AH158">
        <v>8</v>
      </c>
      <c r="AI158" s="1">
        <v>4</v>
      </c>
    </row>
    <row r="159" spans="1:35">
      <c r="A159" s="9">
        <v>1614560</v>
      </c>
      <c r="B159">
        <v>1</v>
      </c>
      <c r="C159">
        <v>3</v>
      </c>
      <c r="D159">
        <v>1000</v>
      </c>
      <c r="E159">
        <v>2023</v>
      </c>
      <c r="F159">
        <v>1997</v>
      </c>
      <c r="G159">
        <v>30</v>
      </c>
      <c r="H159">
        <v>1.750996</v>
      </c>
      <c r="I159">
        <v>7000000000</v>
      </c>
      <c r="J159">
        <v>5000000000</v>
      </c>
      <c r="K159">
        <v>40</v>
      </c>
      <c r="L159">
        <v>450</v>
      </c>
      <c r="M159">
        <v>350</v>
      </c>
      <c r="N159">
        <v>2000000000</v>
      </c>
      <c r="O159">
        <v>1000000000</v>
      </c>
      <c r="P159">
        <v>2500000000</v>
      </c>
      <c r="Q159">
        <v>10</v>
      </c>
      <c r="R159">
        <v>2</v>
      </c>
      <c r="S159">
        <v>2</v>
      </c>
      <c r="T159">
        <v>2</v>
      </c>
      <c r="U159">
        <v>0</v>
      </c>
      <c r="V159">
        <v>0</v>
      </c>
      <c r="W159">
        <v>0</v>
      </c>
      <c r="X159">
        <v>2</v>
      </c>
      <c r="Z159">
        <v>2</v>
      </c>
      <c r="AA159">
        <v>2</v>
      </c>
      <c r="AB159">
        <v>2</v>
      </c>
      <c r="AD159">
        <v>0</v>
      </c>
      <c r="AE159">
        <v>0</v>
      </c>
      <c r="AF159">
        <v>0</v>
      </c>
      <c r="AG159">
        <v>0</v>
      </c>
      <c r="AH159">
        <v>11</v>
      </c>
      <c r="AI159" s="1">
        <v>2</v>
      </c>
    </row>
    <row r="160" spans="1:35">
      <c r="A160" s="9">
        <v>1614561</v>
      </c>
      <c r="B160">
        <v>4</v>
      </c>
      <c r="C160">
        <v>2</v>
      </c>
      <c r="D160">
        <v>15</v>
      </c>
      <c r="E160">
        <v>1061</v>
      </c>
      <c r="F160">
        <v>2012</v>
      </c>
      <c r="G160">
        <v>13</v>
      </c>
      <c r="H160">
        <v>6.9057845999999996</v>
      </c>
      <c r="I160">
        <v>76300000</v>
      </c>
      <c r="J160">
        <v>57120000</v>
      </c>
      <c r="K160">
        <v>40</v>
      </c>
      <c r="L160">
        <v>13</v>
      </c>
      <c r="M160">
        <v>9</v>
      </c>
      <c r="N160">
        <v>11000000</v>
      </c>
      <c r="O160">
        <v>22450000</v>
      </c>
      <c r="P160">
        <v>180000000</v>
      </c>
      <c r="Q160">
        <v>0</v>
      </c>
      <c r="S160">
        <v>2</v>
      </c>
      <c r="T160">
        <v>2</v>
      </c>
      <c r="U160">
        <v>70</v>
      </c>
      <c r="V160">
        <v>0</v>
      </c>
      <c r="W160">
        <v>10</v>
      </c>
      <c r="X160">
        <v>2</v>
      </c>
      <c r="Z160">
        <v>2</v>
      </c>
      <c r="AA160">
        <v>2</v>
      </c>
      <c r="AB160">
        <v>1</v>
      </c>
      <c r="AC160">
        <v>5</v>
      </c>
      <c r="AD160">
        <v>3</v>
      </c>
      <c r="AE160">
        <v>1</v>
      </c>
      <c r="AF160">
        <v>1</v>
      </c>
      <c r="AG160">
        <v>1</v>
      </c>
      <c r="AH160">
        <v>13</v>
      </c>
      <c r="AI160" s="1">
        <v>2</v>
      </c>
    </row>
    <row r="161" spans="1:35">
      <c r="A161" s="9">
        <v>1614563</v>
      </c>
      <c r="B161">
        <v>2</v>
      </c>
      <c r="C161">
        <v>3</v>
      </c>
      <c r="D161">
        <v>200</v>
      </c>
      <c r="E161">
        <v>2029</v>
      </c>
      <c r="F161">
        <v>2006</v>
      </c>
      <c r="G161">
        <v>19</v>
      </c>
      <c r="H161">
        <v>1.2616860000000001</v>
      </c>
      <c r="I161">
        <v>5700000000</v>
      </c>
      <c r="J161">
        <v>6700000000</v>
      </c>
      <c r="K161">
        <v>50</v>
      </c>
      <c r="L161">
        <v>115</v>
      </c>
      <c r="M161">
        <v>95</v>
      </c>
      <c r="N161">
        <v>400000000</v>
      </c>
      <c r="O161">
        <v>2500000000</v>
      </c>
      <c r="P161">
        <v>3500000000</v>
      </c>
      <c r="Q161">
        <v>0</v>
      </c>
      <c r="R161">
        <v>1</v>
      </c>
      <c r="S161">
        <v>2</v>
      </c>
      <c r="T161">
        <v>2</v>
      </c>
      <c r="U161">
        <v>100</v>
      </c>
      <c r="V161">
        <v>0</v>
      </c>
      <c r="W161">
        <v>0</v>
      </c>
      <c r="X161">
        <v>2</v>
      </c>
      <c r="Z161">
        <v>2</v>
      </c>
      <c r="AA161">
        <v>2</v>
      </c>
      <c r="AB161">
        <v>1</v>
      </c>
      <c r="AC161">
        <v>15</v>
      </c>
      <c r="AD161">
        <v>4</v>
      </c>
      <c r="AE161">
        <v>0</v>
      </c>
      <c r="AF161">
        <v>0</v>
      </c>
      <c r="AG161">
        <v>-7</v>
      </c>
      <c r="AH161">
        <v>8</v>
      </c>
      <c r="AI161" s="1">
        <v>1</v>
      </c>
    </row>
    <row r="162" spans="1:35">
      <c r="A162" s="9">
        <v>1614565</v>
      </c>
      <c r="B162">
        <v>2</v>
      </c>
      <c r="C162">
        <v>2</v>
      </c>
      <c r="D162">
        <v>6</v>
      </c>
      <c r="E162">
        <v>1061</v>
      </c>
      <c r="F162">
        <v>2006</v>
      </c>
      <c r="G162">
        <v>30</v>
      </c>
      <c r="H162">
        <v>1.6504706</v>
      </c>
      <c r="I162">
        <v>-9</v>
      </c>
      <c r="J162">
        <v>-9</v>
      </c>
      <c r="K162">
        <v>30</v>
      </c>
      <c r="L162">
        <v>5</v>
      </c>
      <c r="M162">
        <v>5</v>
      </c>
      <c r="N162">
        <v>12000000</v>
      </c>
      <c r="O162">
        <v>60000000</v>
      </c>
      <c r="P162">
        <v>180000000</v>
      </c>
      <c r="Q162">
        <v>0</v>
      </c>
      <c r="S162">
        <v>2</v>
      </c>
      <c r="T162">
        <v>2</v>
      </c>
      <c r="U162">
        <v>50</v>
      </c>
      <c r="V162">
        <v>50</v>
      </c>
      <c r="W162">
        <v>0</v>
      </c>
      <c r="X162">
        <v>2</v>
      </c>
      <c r="Z162">
        <v>1</v>
      </c>
      <c r="AA162">
        <v>1</v>
      </c>
      <c r="AB162">
        <v>1</v>
      </c>
      <c r="AC162">
        <v>0</v>
      </c>
      <c r="AD162">
        <v>1</v>
      </c>
      <c r="AE162">
        <v>3</v>
      </c>
      <c r="AF162">
        <v>1</v>
      </c>
      <c r="AG162">
        <v>0</v>
      </c>
      <c r="AH162">
        <v>14</v>
      </c>
      <c r="AI162" s="1">
        <v>2</v>
      </c>
    </row>
    <row r="163" spans="1:35">
      <c r="A163" s="9">
        <v>1614566</v>
      </c>
      <c r="B163">
        <v>2</v>
      </c>
      <c r="C163">
        <v>1</v>
      </c>
      <c r="D163">
        <v>8</v>
      </c>
      <c r="E163">
        <v>3100</v>
      </c>
      <c r="F163">
        <v>1990</v>
      </c>
      <c r="G163">
        <v>35</v>
      </c>
      <c r="H163">
        <v>64.973600000000005</v>
      </c>
      <c r="I163">
        <v>55000000</v>
      </c>
      <c r="J163">
        <v>-9</v>
      </c>
      <c r="K163">
        <v>65</v>
      </c>
      <c r="L163">
        <v>1</v>
      </c>
      <c r="M163">
        <v>4</v>
      </c>
      <c r="N163">
        <v>-9</v>
      </c>
      <c r="O163">
        <v>-9</v>
      </c>
      <c r="P163">
        <v>20000000</v>
      </c>
      <c r="Q163">
        <v>0</v>
      </c>
      <c r="S163">
        <v>2</v>
      </c>
      <c r="T163">
        <v>2</v>
      </c>
      <c r="U163">
        <v>20</v>
      </c>
      <c r="V163">
        <v>60</v>
      </c>
      <c r="W163">
        <v>20</v>
      </c>
      <c r="X163">
        <v>2</v>
      </c>
      <c r="Z163">
        <v>1</v>
      </c>
      <c r="AA163">
        <v>1</v>
      </c>
      <c r="AB163">
        <v>1</v>
      </c>
      <c r="AC163">
        <v>-9</v>
      </c>
      <c r="AD163">
        <v>2</v>
      </c>
      <c r="AE163">
        <v>3</v>
      </c>
      <c r="AF163">
        <v>1</v>
      </c>
      <c r="AG163">
        <v>4</v>
      </c>
      <c r="AH163">
        <v>13</v>
      </c>
      <c r="AI163" s="1">
        <v>2</v>
      </c>
    </row>
    <row r="164" spans="1:35">
      <c r="A164" s="9">
        <v>1614570</v>
      </c>
      <c r="B164">
        <v>1</v>
      </c>
      <c r="C164">
        <v>3</v>
      </c>
      <c r="D164">
        <v>25</v>
      </c>
      <c r="E164">
        <v>1079</v>
      </c>
      <c r="F164">
        <v>1996</v>
      </c>
      <c r="G164">
        <v>20</v>
      </c>
      <c r="H164">
        <v>1.5688179</v>
      </c>
      <c r="I164">
        <v>100000000</v>
      </c>
      <c r="J164">
        <v>40000000</v>
      </c>
      <c r="K164">
        <v>80</v>
      </c>
      <c r="L164">
        <v>25</v>
      </c>
      <c r="M164">
        <v>10</v>
      </c>
      <c r="N164">
        <v>25000000</v>
      </c>
      <c r="O164">
        <v>30000000</v>
      </c>
      <c r="P164">
        <v>80000000</v>
      </c>
      <c r="Q164">
        <v>80</v>
      </c>
      <c r="R164">
        <v>1</v>
      </c>
      <c r="S164">
        <v>2</v>
      </c>
      <c r="T164">
        <v>2</v>
      </c>
      <c r="U164">
        <v>60</v>
      </c>
      <c r="V164">
        <v>0</v>
      </c>
      <c r="W164">
        <v>30</v>
      </c>
      <c r="X164">
        <v>2</v>
      </c>
      <c r="Z164">
        <v>2</v>
      </c>
      <c r="AA164">
        <v>2</v>
      </c>
      <c r="AB164">
        <v>1</v>
      </c>
      <c r="AC164">
        <v>2</v>
      </c>
      <c r="AD164">
        <v>0</v>
      </c>
      <c r="AE164">
        <v>1</v>
      </c>
      <c r="AF164">
        <v>1</v>
      </c>
      <c r="AG164">
        <v>0</v>
      </c>
      <c r="AH164">
        <v>14</v>
      </c>
      <c r="AI164" s="1">
        <v>4</v>
      </c>
    </row>
    <row r="165" spans="1:35">
      <c r="A165" s="9">
        <v>1614575</v>
      </c>
      <c r="B165">
        <v>3</v>
      </c>
      <c r="C165">
        <v>2</v>
      </c>
      <c r="D165">
        <v>150</v>
      </c>
      <c r="E165">
        <v>2392</v>
      </c>
      <c r="F165">
        <v>2010</v>
      </c>
      <c r="G165">
        <v>30</v>
      </c>
      <c r="H165">
        <v>1.6637995999999999</v>
      </c>
      <c r="I165">
        <v>400000000000</v>
      </c>
      <c r="J165">
        <v>120000000000</v>
      </c>
      <c r="K165">
        <v>100</v>
      </c>
      <c r="L165">
        <v>150</v>
      </c>
      <c r="M165">
        <v>150</v>
      </c>
      <c r="N165">
        <v>10000000000</v>
      </c>
      <c r="O165">
        <v>40000000000</v>
      </c>
      <c r="P165">
        <v>800000000000</v>
      </c>
      <c r="Q165">
        <v>0</v>
      </c>
      <c r="R165">
        <v>1</v>
      </c>
      <c r="S165">
        <v>2</v>
      </c>
      <c r="T165">
        <v>1</v>
      </c>
      <c r="U165">
        <v>85</v>
      </c>
      <c r="V165">
        <v>10</v>
      </c>
      <c r="W165">
        <v>0</v>
      </c>
      <c r="X165">
        <v>2</v>
      </c>
      <c r="Z165">
        <v>1</v>
      </c>
      <c r="AA165">
        <v>1</v>
      </c>
      <c r="AB165">
        <v>1</v>
      </c>
      <c r="AC165">
        <v>6</v>
      </c>
      <c r="AD165">
        <v>0</v>
      </c>
      <c r="AE165">
        <v>4</v>
      </c>
      <c r="AF165">
        <v>2</v>
      </c>
      <c r="AG165">
        <v>2</v>
      </c>
      <c r="AH165">
        <v>1</v>
      </c>
      <c r="AI165" s="1">
        <v>1</v>
      </c>
    </row>
    <row r="166" spans="1:35">
      <c r="A166" s="9">
        <v>1614580</v>
      </c>
      <c r="B166">
        <v>3</v>
      </c>
      <c r="C166">
        <v>2</v>
      </c>
      <c r="D166">
        <v>9</v>
      </c>
      <c r="E166">
        <v>2511</v>
      </c>
      <c r="F166">
        <v>2011</v>
      </c>
      <c r="G166">
        <v>14</v>
      </c>
      <c r="H166">
        <v>1.6637995999999999</v>
      </c>
      <c r="I166">
        <v>255000000</v>
      </c>
      <c r="J166">
        <v>200000000</v>
      </c>
      <c r="K166">
        <v>80</v>
      </c>
      <c r="L166">
        <v>7</v>
      </c>
      <c r="M166">
        <v>7</v>
      </c>
      <c r="N166">
        <v>27000000</v>
      </c>
      <c r="O166">
        <v>50000000</v>
      </c>
      <c r="P166">
        <v>70000000</v>
      </c>
      <c r="Q166">
        <v>0</v>
      </c>
      <c r="S166">
        <v>2</v>
      </c>
      <c r="T166">
        <v>2</v>
      </c>
      <c r="U166">
        <v>70</v>
      </c>
      <c r="V166">
        <v>0</v>
      </c>
      <c r="W166">
        <v>0</v>
      </c>
      <c r="X166">
        <v>2</v>
      </c>
      <c r="Z166">
        <v>2</v>
      </c>
      <c r="AA166">
        <v>2</v>
      </c>
      <c r="AB166">
        <v>1</v>
      </c>
      <c r="AC166">
        <v>2</v>
      </c>
      <c r="AD166">
        <v>2</v>
      </c>
      <c r="AE166">
        <v>3</v>
      </c>
      <c r="AF166">
        <v>1</v>
      </c>
      <c r="AG166">
        <v>1</v>
      </c>
      <c r="AH166">
        <v>1</v>
      </c>
      <c r="AI166" s="1">
        <v>1</v>
      </c>
    </row>
    <row r="167" spans="1:35">
      <c r="A167" s="9">
        <v>1614581</v>
      </c>
      <c r="B167">
        <v>4</v>
      </c>
      <c r="C167">
        <v>1</v>
      </c>
      <c r="D167">
        <v>25</v>
      </c>
      <c r="E167">
        <v>2220</v>
      </c>
      <c r="F167">
        <v>2015</v>
      </c>
      <c r="G167">
        <v>16</v>
      </c>
      <c r="H167">
        <v>1.6450883999999999</v>
      </c>
      <c r="I167">
        <v>-9</v>
      </c>
      <c r="J167">
        <v>-9</v>
      </c>
      <c r="K167">
        <v>20</v>
      </c>
      <c r="L167">
        <v>10</v>
      </c>
      <c r="M167">
        <v>10</v>
      </c>
      <c r="N167">
        <v>-9</v>
      </c>
      <c r="O167">
        <v>-9</v>
      </c>
      <c r="P167">
        <v>-9</v>
      </c>
      <c r="Q167">
        <v>0</v>
      </c>
      <c r="R167">
        <v>1</v>
      </c>
      <c r="S167">
        <v>2</v>
      </c>
      <c r="T167">
        <v>2</v>
      </c>
      <c r="U167">
        <v>100</v>
      </c>
      <c r="V167">
        <v>0</v>
      </c>
      <c r="W167">
        <v>0</v>
      </c>
      <c r="X167">
        <v>1</v>
      </c>
      <c r="Y167">
        <v>2460000</v>
      </c>
      <c r="Z167">
        <v>2</v>
      </c>
      <c r="AA167">
        <v>2</v>
      </c>
      <c r="AB167">
        <v>1</v>
      </c>
      <c r="AC167">
        <v>8</v>
      </c>
      <c r="AD167">
        <v>2</v>
      </c>
      <c r="AE167">
        <v>1</v>
      </c>
      <c r="AF167">
        <v>0</v>
      </c>
      <c r="AG167">
        <v>0</v>
      </c>
      <c r="AH167">
        <v>14</v>
      </c>
      <c r="AI167" s="1">
        <v>2</v>
      </c>
    </row>
    <row r="168" spans="1:35">
      <c r="A168" s="9">
        <v>1614583</v>
      </c>
      <c r="B168">
        <v>1</v>
      </c>
      <c r="C168">
        <v>3</v>
      </c>
      <c r="D168">
        <v>200</v>
      </c>
      <c r="E168">
        <v>1030</v>
      </c>
      <c r="F168">
        <v>1996</v>
      </c>
      <c r="G168">
        <v>30</v>
      </c>
      <c r="H168">
        <v>1.5688179</v>
      </c>
      <c r="I168">
        <v>300000000</v>
      </c>
      <c r="J168">
        <v>50000000</v>
      </c>
      <c r="K168">
        <v>80</v>
      </c>
      <c r="L168">
        <v>50</v>
      </c>
      <c r="M168">
        <v>20</v>
      </c>
      <c r="N168">
        <v>200000000</v>
      </c>
      <c r="O168">
        <v>50000000</v>
      </c>
      <c r="P168">
        <v>-9</v>
      </c>
      <c r="Q168">
        <v>0</v>
      </c>
      <c r="R168">
        <v>1</v>
      </c>
      <c r="S168">
        <v>2</v>
      </c>
      <c r="T168">
        <v>1</v>
      </c>
      <c r="U168">
        <v>100</v>
      </c>
      <c r="V168">
        <v>0</v>
      </c>
      <c r="W168">
        <v>0</v>
      </c>
      <c r="X168">
        <v>2</v>
      </c>
      <c r="Z168">
        <v>2</v>
      </c>
      <c r="AA168">
        <v>2</v>
      </c>
      <c r="AB168">
        <v>1</v>
      </c>
      <c r="AC168">
        <v>2</v>
      </c>
      <c r="AD168">
        <v>0</v>
      </c>
      <c r="AE168">
        <v>3</v>
      </c>
      <c r="AF168">
        <v>0</v>
      </c>
      <c r="AG168">
        <v>1</v>
      </c>
      <c r="AH168">
        <v>14</v>
      </c>
      <c r="AI168" s="1">
        <v>4</v>
      </c>
    </row>
    <row r="169" spans="1:35">
      <c r="A169" s="9">
        <v>1614584</v>
      </c>
      <c r="B169">
        <v>1</v>
      </c>
      <c r="C169">
        <v>3</v>
      </c>
      <c r="D169">
        <v>636</v>
      </c>
      <c r="E169">
        <v>2022</v>
      </c>
      <c r="F169">
        <v>1963</v>
      </c>
      <c r="G169">
        <v>32</v>
      </c>
      <c r="H169">
        <v>1.574964</v>
      </c>
      <c r="I169">
        <v>7400000000</v>
      </c>
      <c r="J169">
        <v>6350000000</v>
      </c>
      <c r="K169">
        <v>100</v>
      </c>
      <c r="L169">
        <v>248</v>
      </c>
      <c r="M169">
        <v>220</v>
      </c>
      <c r="N169">
        <v>2400000000</v>
      </c>
      <c r="O169">
        <v>4320000000</v>
      </c>
      <c r="P169">
        <v>3700000000</v>
      </c>
      <c r="Q169">
        <v>32</v>
      </c>
      <c r="R169">
        <v>1</v>
      </c>
      <c r="S169">
        <v>1</v>
      </c>
      <c r="T169">
        <v>2</v>
      </c>
      <c r="U169">
        <v>75</v>
      </c>
      <c r="V169">
        <v>0</v>
      </c>
      <c r="W169">
        <v>25</v>
      </c>
      <c r="X169">
        <v>1</v>
      </c>
      <c r="Y169">
        <v>300000000</v>
      </c>
      <c r="Z169">
        <v>2</v>
      </c>
      <c r="AA169">
        <v>2</v>
      </c>
      <c r="AB169">
        <v>1</v>
      </c>
      <c r="AC169">
        <v>4</v>
      </c>
      <c r="AD169">
        <v>3</v>
      </c>
      <c r="AE169">
        <v>1</v>
      </c>
      <c r="AF169">
        <v>1</v>
      </c>
      <c r="AG169">
        <v>4</v>
      </c>
      <c r="AH169">
        <v>2</v>
      </c>
      <c r="AI169" s="1">
        <v>4</v>
      </c>
    </row>
    <row r="170" spans="1:35">
      <c r="A170" s="9">
        <v>1614585</v>
      </c>
      <c r="B170">
        <v>1</v>
      </c>
      <c r="C170">
        <v>3</v>
      </c>
      <c r="D170">
        <v>45</v>
      </c>
      <c r="E170">
        <v>1811</v>
      </c>
      <c r="F170">
        <v>2013</v>
      </c>
      <c r="G170">
        <v>15</v>
      </c>
      <c r="H170">
        <v>2.0788313999999999</v>
      </c>
      <c r="I170">
        <v>5100000000</v>
      </c>
      <c r="J170">
        <v>4950000000</v>
      </c>
      <c r="K170">
        <v>75</v>
      </c>
      <c r="L170">
        <v>45</v>
      </c>
      <c r="M170">
        <v>45</v>
      </c>
      <c r="N170">
        <v>1620000000</v>
      </c>
      <c r="O170">
        <v>2155000000</v>
      </c>
      <c r="P170">
        <v>7400000000</v>
      </c>
      <c r="Q170">
        <v>0</v>
      </c>
      <c r="R170">
        <v>1</v>
      </c>
      <c r="S170">
        <v>2</v>
      </c>
      <c r="T170">
        <v>2</v>
      </c>
      <c r="U170">
        <v>40</v>
      </c>
      <c r="V170">
        <v>40</v>
      </c>
      <c r="W170">
        <v>20</v>
      </c>
      <c r="X170">
        <v>1</v>
      </c>
      <c r="Y170">
        <v>60000000</v>
      </c>
      <c r="Z170">
        <v>1</v>
      </c>
      <c r="AA170">
        <v>1</v>
      </c>
      <c r="AB170">
        <v>1</v>
      </c>
      <c r="AC170">
        <v>12</v>
      </c>
      <c r="AD170">
        <v>4</v>
      </c>
      <c r="AE170">
        <v>3</v>
      </c>
      <c r="AF170">
        <v>0</v>
      </c>
      <c r="AG170">
        <v>4</v>
      </c>
      <c r="AH170">
        <v>7</v>
      </c>
      <c r="AI170" s="1">
        <v>4</v>
      </c>
    </row>
    <row r="171" spans="1:35">
      <c r="A171" s="9">
        <v>1614589</v>
      </c>
      <c r="B171">
        <v>3</v>
      </c>
      <c r="C171">
        <v>3</v>
      </c>
      <c r="D171">
        <v>800</v>
      </c>
      <c r="E171">
        <v>1061</v>
      </c>
      <c r="F171">
        <v>2004</v>
      </c>
      <c r="G171">
        <v>20</v>
      </c>
      <c r="H171">
        <v>1</v>
      </c>
      <c r="I171">
        <v>4000000000</v>
      </c>
      <c r="J171">
        <v>3000000000</v>
      </c>
      <c r="K171">
        <v>60</v>
      </c>
      <c r="L171">
        <v>220</v>
      </c>
      <c r="M171">
        <v>200</v>
      </c>
      <c r="N171">
        <v>2000000000</v>
      </c>
      <c r="O171">
        <v>200000000</v>
      </c>
      <c r="P171">
        <v>12000000000</v>
      </c>
      <c r="Q171">
        <v>0</v>
      </c>
      <c r="R171">
        <v>1</v>
      </c>
      <c r="S171">
        <v>1</v>
      </c>
      <c r="T171">
        <v>2</v>
      </c>
      <c r="U171">
        <v>40</v>
      </c>
      <c r="V171">
        <v>40</v>
      </c>
      <c r="W171">
        <v>20</v>
      </c>
      <c r="X171">
        <v>1</v>
      </c>
      <c r="Y171">
        <v>200000000</v>
      </c>
      <c r="Z171">
        <v>1</v>
      </c>
      <c r="AA171">
        <v>1</v>
      </c>
      <c r="AB171">
        <v>1</v>
      </c>
      <c r="AC171">
        <v>10</v>
      </c>
      <c r="AD171">
        <v>1</v>
      </c>
      <c r="AE171">
        <v>3</v>
      </c>
      <c r="AF171">
        <v>1</v>
      </c>
      <c r="AG171">
        <v>3</v>
      </c>
      <c r="AH171">
        <v>14</v>
      </c>
      <c r="AI171" s="1">
        <v>4</v>
      </c>
    </row>
    <row r="172" spans="1:35">
      <c r="A172" s="9">
        <v>1614591</v>
      </c>
      <c r="B172">
        <v>3</v>
      </c>
      <c r="C172">
        <v>1</v>
      </c>
      <c r="D172">
        <v>10</v>
      </c>
      <c r="E172">
        <v>1061</v>
      </c>
      <c r="F172">
        <v>1998</v>
      </c>
      <c r="G172">
        <v>27</v>
      </c>
      <c r="H172">
        <v>7.8952764999999996</v>
      </c>
      <c r="I172">
        <v>45000000</v>
      </c>
      <c r="J172">
        <v>42000000</v>
      </c>
      <c r="K172">
        <v>70</v>
      </c>
      <c r="L172">
        <v>10</v>
      </c>
      <c r="M172">
        <v>10</v>
      </c>
      <c r="N172">
        <v>20000000</v>
      </c>
      <c r="O172">
        <v>15000000</v>
      </c>
      <c r="P172">
        <v>25000000</v>
      </c>
      <c r="Q172">
        <v>0</v>
      </c>
      <c r="S172">
        <v>1</v>
      </c>
      <c r="T172">
        <v>1</v>
      </c>
      <c r="U172">
        <v>20</v>
      </c>
      <c r="V172">
        <v>70</v>
      </c>
      <c r="W172">
        <v>0</v>
      </c>
      <c r="X172">
        <v>2</v>
      </c>
      <c r="Z172">
        <v>1</v>
      </c>
      <c r="AA172">
        <v>2</v>
      </c>
      <c r="AB172">
        <v>1</v>
      </c>
      <c r="AC172">
        <v>22</v>
      </c>
      <c r="AD172">
        <v>4</v>
      </c>
      <c r="AE172">
        <v>4</v>
      </c>
      <c r="AF172">
        <v>0</v>
      </c>
      <c r="AG172">
        <v>1</v>
      </c>
      <c r="AH172">
        <v>8</v>
      </c>
      <c r="AI172" s="1">
        <v>4</v>
      </c>
    </row>
    <row r="173" spans="1:35">
      <c r="A173" s="9">
        <v>1614594</v>
      </c>
      <c r="B173">
        <v>4</v>
      </c>
      <c r="C173">
        <v>2</v>
      </c>
      <c r="D173">
        <v>5</v>
      </c>
      <c r="E173">
        <v>1811</v>
      </c>
      <c r="F173">
        <v>2004</v>
      </c>
      <c r="G173">
        <v>20</v>
      </c>
      <c r="H173">
        <v>9.1390229999999999</v>
      </c>
      <c r="I173">
        <v>200000000</v>
      </c>
      <c r="J173">
        <v>180000000</v>
      </c>
      <c r="K173">
        <v>100</v>
      </c>
      <c r="L173">
        <v>5</v>
      </c>
      <c r="M173">
        <v>6</v>
      </c>
      <c r="N173">
        <v>9600000</v>
      </c>
      <c r="O173">
        <v>60000000</v>
      </c>
      <c r="P173">
        <v>160000000</v>
      </c>
      <c r="Q173">
        <v>0</v>
      </c>
      <c r="S173">
        <v>2</v>
      </c>
      <c r="T173">
        <v>2</v>
      </c>
      <c r="U173">
        <v>15</v>
      </c>
      <c r="V173">
        <v>20</v>
      </c>
      <c r="W173">
        <v>0</v>
      </c>
      <c r="X173">
        <v>1</v>
      </c>
      <c r="Y173">
        <v>11000000</v>
      </c>
      <c r="Z173">
        <v>2</v>
      </c>
      <c r="AA173">
        <v>2</v>
      </c>
      <c r="AB173">
        <v>1</v>
      </c>
      <c r="AC173">
        <v>4</v>
      </c>
      <c r="AD173">
        <v>3</v>
      </c>
      <c r="AE173">
        <v>1</v>
      </c>
      <c r="AF173">
        <v>1</v>
      </c>
      <c r="AG173">
        <v>4</v>
      </c>
      <c r="AH173">
        <v>1</v>
      </c>
      <c r="AI173" s="1">
        <v>1</v>
      </c>
    </row>
    <row r="174" spans="1:35">
      <c r="A174" s="9">
        <v>1614598</v>
      </c>
      <c r="B174">
        <v>2</v>
      </c>
      <c r="C174">
        <v>2</v>
      </c>
      <c r="D174">
        <v>25</v>
      </c>
      <c r="E174">
        <v>1071</v>
      </c>
      <c r="F174">
        <v>1990</v>
      </c>
      <c r="G174">
        <v>35</v>
      </c>
      <c r="H174">
        <v>1.6504706</v>
      </c>
      <c r="I174">
        <v>160000000</v>
      </c>
      <c r="J174">
        <v>80000000</v>
      </c>
      <c r="K174">
        <v>75</v>
      </c>
      <c r="L174">
        <v>16</v>
      </c>
      <c r="M174">
        <v>8</v>
      </c>
      <c r="N174">
        <v>40800000</v>
      </c>
      <c r="O174">
        <v>100000000</v>
      </c>
      <c r="P174">
        <v>200000000</v>
      </c>
      <c r="Q174">
        <v>0</v>
      </c>
      <c r="R174">
        <v>1</v>
      </c>
      <c r="S174">
        <v>2</v>
      </c>
      <c r="T174">
        <v>2</v>
      </c>
      <c r="U174">
        <v>60</v>
      </c>
      <c r="V174">
        <v>0</v>
      </c>
      <c r="W174">
        <v>40</v>
      </c>
      <c r="X174">
        <v>1</v>
      </c>
      <c r="Y174">
        <v>0</v>
      </c>
      <c r="Z174">
        <v>1</v>
      </c>
      <c r="AA174">
        <v>2</v>
      </c>
      <c r="AB174">
        <v>1</v>
      </c>
      <c r="AC174">
        <v>3</v>
      </c>
      <c r="AD174">
        <v>2</v>
      </c>
      <c r="AE174">
        <v>3</v>
      </c>
      <c r="AF174">
        <v>2</v>
      </c>
      <c r="AG174">
        <v>3</v>
      </c>
      <c r="AH174">
        <v>1</v>
      </c>
      <c r="AI174" s="1">
        <v>4</v>
      </c>
    </row>
    <row r="175" spans="1:35">
      <c r="A175" s="9">
        <v>1614601</v>
      </c>
      <c r="B175">
        <v>2</v>
      </c>
      <c r="C175">
        <v>2</v>
      </c>
      <c r="D175">
        <v>15</v>
      </c>
      <c r="E175">
        <v>1079</v>
      </c>
      <c r="F175">
        <v>2015</v>
      </c>
      <c r="G175">
        <v>3</v>
      </c>
      <c r="H175">
        <v>1.6504706</v>
      </c>
      <c r="I175">
        <v>270000000</v>
      </c>
      <c r="J175">
        <v>250000000</v>
      </c>
      <c r="K175">
        <v>90</v>
      </c>
      <c r="L175">
        <v>10</v>
      </c>
      <c r="M175">
        <v>8</v>
      </c>
      <c r="N175">
        <v>6000000</v>
      </c>
      <c r="O175">
        <v>0</v>
      </c>
      <c r="P175">
        <v>200000000</v>
      </c>
      <c r="Q175">
        <v>0</v>
      </c>
      <c r="S175">
        <v>2</v>
      </c>
      <c r="T175">
        <v>2</v>
      </c>
      <c r="U175">
        <v>70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1</v>
      </c>
      <c r="AB175">
        <v>1</v>
      </c>
      <c r="AC175">
        <v>100</v>
      </c>
      <c r="AD175">
        <v>4</v>
      </c>
      <c r="AE175">
        <v>3</v>
      </c>
      <c r="AF175">
        <v>2</v>
      </c>
      <c r="AG175">
        <v>2</v>
      </c>
      <c r="AH175">
        <v>8</v>
      </c>
      <c r="AI175" s="1">
        <v>2</v>
      </c>
    </row>
    <row r="176" spans="1:35">
      <c r="A176" s="9">
        <v>1614603</v>
      </c>
      <c r="B176">
        <v>1</v>
      </c>
      <c r="C176">
        <v>3</v>
      </c>
      <c r="D176">
        <v>149</v>
      </c>
      <c r="E176">
        <v>1020</v>
      </c>
      <c r="F176">
        <v>2008</v>
      </c>
      <c r="G176">
        <v>25</v>
      </c>
      <c r="H176">
        <v>1.5688179</v>
      </c>
      <c r="I176">
        <v>89770000000</v>
      </c>
      <c r="J176">
        <v>45000000000</v>
      </c>
      <c r="K176">
        <v>60</v>
      </c>
      <c r="L176">
        <v>131</v>
      </c>
      <c r="M176">
        <v>96</v>
      </c>
      <c r="N176">
        <v>1956762000</v>
      </c>
      <c r="O176">
        <v>48000000000</v>
      </c>
      <c r="P176">
        <v>2130726400</v>
      </c>
      <c r="Q176">
        <v>89</v>
      </c>
      <c r="R176">
        <v>1</v>
      </c>
      <c r="S176">
        <v>2</v>
      </c>
      <c r="T176">
        <v>2</v>
      </c>
      <c r="U176">
        <v>50</v>
      </c>
      <c r="V176">
        <v>50</v>
      </c>
      <c r="W176">
        <v>0</v>
      </c>
      <c r="X176">
        <v>1</v>
      </c>
      <c r="Y176">
        <v>83000000</v>
      </c>
      <c r="Z176">
        <v>2</v>
      </c>
      <c r="AA176">
        <v>1</v>
      </c>
      <c r="AB176">
        <v>1</v>
      </c>
      <c r="AC176">
        <v>2</v>
      </c>
      <c r="AD176">
        <v>2</v>
      </c>
      <c r="AE176">
        <v>4</v>
      </c>
      <c r="AF176">
        <v>1</v>
      </c>
      <c r="AG176">
        <v>2</v>
      </c>
      <c r="AH176">
        <v>1</v>
      </c>
      <c r="AI176" s="1">
        <v>1</v>
      </c>
    </row>
    <row r="177" spans="1:35">
      <c r="A177" s="9">
        <v>1614604</v>
      </c>
      <c r="B177">
        <v>2</v>
      </c>
      <c r="C177">
        <v>2</v>
      </c>
      <c r="D177">
        <v>15</v>
      </c>
      <c r="E177">
        <v>3100</v>
      </c>
      <c r="F177">
        <v>2019</v>
      </c>
      <c r="G177">
        <v>12</v>
      </c>
      <c r="H177">
        <v>2.6198342000000001</v>
      </c>
      <c r="I177">
        <v>350000000</v>
      </c>
      <c r="J177">
        <v>380000000</v>
      </c>
      <c r="K177">
        <v>10</v>
      </c>
      <c r="L177">
        <v>5</v>
      </c>
      <c r="M177">
        <v>5</v>
      </c>
      <c r="N177">
        <v>75000000</v>
      </c>
      <c r="O177">
        <v>210000000</v>
      </c>
      <c r="P177">
        <v>35000000</v>
      </c>
      <c r="Q177">
        <v>0</v>
      </c>
      <c r="S177">
        <v>2</v>
      </c>
      <c r="T177">
        <v>1</v>
      </c>
      <c r="U177">
        <v>15</v>
      </c>
      <c r="V177">
        <v>0</v>
      </c>
      <c r="W177">
        <v>30</v>
      </c>
      <c r="X177">
        <v>1</v>
      </c>
      <c r="Y177">
        <v>1000000</v>
      </c>
      <c r="Z177">
        <v>1</v>
      </c>
      <c r="AA177">
        <v>2</v>
      </c>
      <c r="AB177">
        <v>1</v>
      </c>
      <c r="AC177">
        <v>5</v>
      </c>
      <c r="AD177">
        <v>2</v>
      </c>
      <c r="AE177">
        <v>2</v>
      </c>
      <c r="AF177">
        <v>1</v>
      </c>
      <c r="AG177">
        <v>3</v>
      </c>
      <c r="AH177">
        <v>12</v>
      </c>
      <c r="AI177" s="1">
        <v>2</v>
      </c>
    </row>
    <row r="178" spans="1:35">
      <c r="A178" s="9">
        <v>1614607</v>
      </c>
      <c r="B178">
        <v>2</v>
      </c>
      <c r="C178">
        <v>2</v>
      </c>
      <c r="D178">
        <v>5</v>
      </c>
      <c r="E178">
        <v>2511</v>
      </c>
      <c r="F178">
        <v>2010</v>
      </c>
      <c r="G178">
        <v>15</v>
      </c>
      <c r="H178">
        <v>2.6198342000000001</v>
      </c>
      <c r="I178">
        <v>5000000</v>
      </c>
      <c r="J178">
        <v>10000000</v>
      </c>
      <c r="K178">
        <v>30</v>
      </c>
      <c r="L178">
        <v>4</v>
      </c>
      <c r="M178">
        <v>5</v>
      </c>
      <c r="N178">
        <v>-9</v>
      </c>
      <c r="O178">
        <v>3000000</v>
      </c>
      <c r="P178">
        <v>2000000</v>
      </c>
      <c r="Q178">
        <v>0</v>
      </c>
      <c r="S178">
        <v>2</v>
      </c>
      <c r="T178">
        <v>2</v>
      </c>
      <c r="U178">
        <v>20</v>
      </c>
      <c r="V178">
        <v>0</v>
      </c>
      <c r="W178">
        <v>10</v>
      </c>
      <c r="X178">
        <v>2</v>
      </c>
      <c r="Z178">
        <v>1</v>
      </c>
      <c r="AA178">
        <v>1</v>
      </c>
      <c r="AB178">
        <v>1</v>
      </c>
      <c r="AC178">
        <v>5</v>
      </c>
      <c r="AD178">
        <v>1</v>
      </c>
      <c r="AE178">
        <v>3</v>
      </c>
      <c r="AF178">
        <v>0</v>
      </c>
      <c r="AG178">
        <v>3</v>
      </c>
      <c r="AH178">
        <v>14</v>
      </c>
      <c r="AI178" s="1">
        <v>2</v>
      </c>
    </row>
    <row r="179" spans="1:35">
      <c r="A179" s="9">
        <v>1614611</v>
      </c>
      <c r="B179">
        <v>2</v>
      </c>
      <c r="C179">
        <v>2</v>
      </c>
      <c r="D179">
        <v>45</v>
      </c>
      <c r="E179">
        <v>2220</v>
      </c>
      <c r="F179">
        <v>2017</v>
      </c>
      <c r="G179">
        <v>-9</v>
      </c>
      <c r="H179">
        <v>2.6198342000000001</v>
      </c>
      <c r="I179">
        <v>120000000</v>
      </c>
      <c r="J179">
        <v>-9</v>
      </c>
      <c r="K179">
        <v>35</v>
      </c>
      <c r="L179">
        <v>12</v>
      </c>
      <c r="M179">
        <v>6</v>
      </c>
      <c r="N179">
        <v>50000000</v>
      </c>
      <c r="O179">
        <v>10000000</v>
      </c>
      <c r="P179">
        <v>100000000</v>
      </c>
      <c r="Q179">
        <v>0</v>
      </c>
      <c r="R179">
        <v>1</v>
      </c>
      <c r="S179">
        <v>1</v>
      </c>
      <c r="T179">
        <v>2</v>
      </c>
      <c r="U179">
        <v>20</v>
      </c>
      <c r="V179">
        <v>0</v>
      </c>
      <c r="W179">
        <v>50</v>
      </c>
      <c r="X179">
        <v>2</v>
      </c>
      <c r="Z179">
        <v>2</v>
      </c>
      <c r="AA179">
        <v>2</v>
      </c>
      <c r="AB179">
        <v>1</v>
      </c>
      <c r="AC179">
        <v>3</v>
      </c>
      <c r="AD179">
        <v>3</v>
      </c>
      <c r="AE179">
        <v>3</v>
      </c>
      <c r="AF179">
        <v>1</v>
      </c>
      <c r="AG179">
        <v>-9</v>
      </c>
      <c r="AH179">
        <v>8</v>
      </c>
      <c r="AI179" s="1">
        <v>2</v>
      </c>
    </row>
    <row r="180" spans="1:35">
      <c r="A180" s="9">
        <v>1614612</v>
      </c>
      <c r="B180">
        <v>1</v>
      </c>
      <c r="C180">
        <v>3</v>
      </c>
      <c r="D180">
        <v>3000</v>
      </c>
      <c r="E180">
        <v>3290</v>
      </c>
      <c r="F180">
        <v>2003</v>
      </c>
      <c r="G180">
        <v>22</v>
      </c>
      <c r="H180">
        <v>1.574964</v>
      </c>
      <c r="I180">
        <v>-9</v>
      </c>
      <c r="J180">
        <v>-9</v>
      </c>
      <c r="K180">
        <v>-9</v>
      </c>
      <c r="L180">
        <v>2000</v>
      </c>
      <c r="M180">
        <v>1200</v>
      </c>
      <c r="N180">
        <v>-9</v>
      </c>
      <c r="O180">
        <v>-9</v>
      </c>
      <c r="P180">
        <v>-9</v>
      </c>
      <c r="Q180">
        <v>15</v>
      </c>
      <c r="R180">
        <v>1</v>
      </c>
      <c r="S180">
        <v>1</v>
      </c>
      <c r="T180">
        <v>1</v>
      </c>
      <c r="U180">
        <v>100</v>
      </c>
      <c r="V180">
        <v>0</v>
      </c>
      <c r="W180">
        <v>0</v>
      </c>
      <c r="X180">
        <v>1</v>
      </c>
      <c r="Y180">
        <v>-9</v>
      </c>
      <c r="Z180">
        <v>2</v>
      </c>
      <c r="AA180">
        <v>2</v>
      </c>
      <c r="AB180">
        <v>1</v>
      </c>
      <c r="AC180">
        <v>2</v>
      </c>
      <c r="AD180">
        <v>2</v>
      </c>
      <c r="AE180">
        <v>0</v>
      </c>
      <c r="AF180">
        <v>1</v>
      </c>
      <c r="AG180">
        <v>3</v>
      </c>
      <c r="AH180">
        <v>14</v>
      </c>
      <c r="AI180" s="1">
        <v>2</v>
      </c>
    </row>
    <row r="181" spans="1:35">
      <c r="A181" s="9">
        <v>1614615</v>
      </c>
      <c r="B181">
        <v>3</v>
      </c>
      <c r="C181">
        <v>3</v>
      </c>
      <c r="D181">
        <v>400</v>
      </c>
      <c r="E181">
        <v>1621</v>
      </c>
      <c r="F181">
        <v>1993</v>
      </c>
      <c r="G181">
        <v>15</v>
      </c>
      <c r="H181">
        <v>1</v>
      </c>
      <c r="I181">
        <v>1800000000</v>
      </c>
      <c r="J181">
        <v>1250000000</v>
      </c>
      <c r="K181">
        <v>35</v>
      </c>
      <c r="L181">
        <v>350</v>
      </c>
      <c r="M181">
        <v>350</v>
      </c>
      <c r="N181">
        <v>200000000</v>
      </c>
      <c r="O181">
        <v>68500000</v>
      </c>
      <c r="P181">
        <v>500000000</v>
      </c>
      <c r="Q181">
        <v>0</v>
      </c>
      <c r="R181">
        <v>2</v>
      </c>
      <c r="S181">
        <v>1</v>
      </c>
      <c r="T181">
        <v>2</v>
      </c>
      <c r="U181">
        <v>60</v>
      </c>
      <c r="V181">
        <v>0</v>
      </c>
      <c r="W181">
        <v>0</v>
      </c>
      <c r="X181">
        <v>2</v>
      </c>
      <c r="Z181">
        <v>2</v>
      </c>
      <c r="AA181">
        <v>2</v>
      </c>
      <c r="AB181">
        <v>1</v>
      </c>
      <c r="AC181">
        <v>6</v>
      </c>
      <c r="AD181">
        <v>3</v>
      </c>
      <c r="AE181">
        <v>3</v>
      </c>
      <c r="AF181">
        <v>0</v>
      </c>
      <c r="AG181">
        <v>1</v>
      </c>
      <c r="AH181">
        <v>1</v>
      </c>
      <c r="AI181" s="1">
        <v>4</v>
      </c>
    </row>
    <row r="182" spans="1:35">
      <c r="A182" s="9">
        <v>1614616</v>
      </c>
      <c r="B182">
        <v>4</v>
      </c>
      <c r="C182">
        <v>2</v>
      </c>
      <c r="D182">
        <v>5</v>
      </c>
      <c r="E182">
        <v>1811</v>
      </c>
      <c r="F182">
        <v>1996</v>
      </c>
      <c r="G182">
        <v>10</v>
      </c>
      <c r="H182">
        <v>6.9057845999999996</v>
      </c>
      <c r="I182">
        <v>45000000</v>
      </c>
      <c r="J182">
        <v>40000000</v>
      </c>
      <c r="K182">
        <v>100</v>
      </c>
      <c r="L182">
        <v>5</v>
      </c>
      <c r="M182">
        <v>3</v>
      </c>
      <c r="N182">
        <v>7000000</v>
      </c>
      <c r="O182">
        <v>3000000</v>
      </c>
      <c r="P182">
        <v>150000000</v>
      </c>
      <c r="Q182">
        <v>0</v>
      </c>
      <c r="S182">
        <v>2</v>
      </c>
      <c r="T182">
        <v>2</v>
      </c>
      <c r="U182">
        <v>60</v>
      </c>
      <c r="V182">
        <v>40</v>
      </c>
      <c r="W182">
        <v>0</v>
      </c>
      <c r="X182">
        <v>1</v>
      </c>
      <c r="Y182">
        <v>8000000</v>
      </c>
      <c r="Z182">
        <v>1</v>
      </c>
      <c r="AA182">
        <v>1</v>
      </c>
      <c r="AB182">
        <v>1</v>
      </c>
      <c r="AC182">
        <v>12</v>
      </c>
      <c r="AD182">
        <v>3</v>
      </c>
      <c r="AE182">
        <v>1</v>
      </c>
      <c r="AF182">
        <v>1</v>
      </c>
      <c r="AG182">
        <v>1</v>
      </c>
      <c r="AH182">
        <v>14</v>
      </c>
      <c r="AI182" s="1">
        <v>4</v>
      </c>
    </row>
    <row r="183" spans="1:35">
      <c r="A183" s="9">
        <v>1614620</v>
      </c>
      <c r="B183">
        <v>1</v>
      </c>
      <c r="C183">
        <v>3</v>
      </c>
      <c r="D183">
        <v>325</v>
      </c>
      <c r="E183">
        <v>1702</v>
      </c>
      <c r="F183">
        <v>2004</v>
      </c>
      <c r="G183">
        <v>21</v>
      </c>
      <c r="H183">
        <v>1.574964</v>
      </c>
      <c r="I183">
        <v>85000000000</v>
      </c>
      <c r="J183">
        <v>80000000000</v>
      </c>
      <c r="K183">
        <v>70</v>
      </c>
      <c r="L183">
        <v>180</v>
      </c>
      <c r="M183">
        <v>160</v>
      </c>
      <c r="N183">
        <v>2000000000</v>
      </c>
      <c r="O183">
        <v>57600000000</v>
      </c>
      <c r="P183">
        <v>7200000000</v>
      </c>
      <c r="Q183">
        <v>10</v>
      </c>
      <c r="R183">
        <v>1</v>
      </c>
      <c r="S183">
        <v>1</v>
      </c>
      <c r="T183">
        <v>1</v>
      </c>
      <c r="U183">
        <v>20</v>
      </c>
      <c r="V183">
        <v>80</v>
      </c>
      <c r="W183">
        <v>0</v>
      </c>
      <c r="X183">
        <v>1</v>
      </c>
      <c r="Y183">
        <v>1800000000</v>
      </c>
      <c r="Z183">
        <v>1</v>
      </c>
      <c r="AA183">
        <v>1</v>
      </c>
      <c r="AB183">
        <v>1</v>
      </c>
      <c r="AC183">
        <v>8</v>
      </c>
      <c r="AD183">
        <v>3</v>
      </c>
      <c r="AE183">
        <v>2</v>
      </c>
      <c r="AF183">
        <v>0</v>
      </c>
      <c r="AG183">
        <v>2</v>
      </c>
      <c r="AH183">
        <v>14</v>
      </c>
      <c r="AI183" s="1">
        <v>2</v>
      </c>
    </row>
    <row r="184" spans="1:35">
      <c r="A184" s="9">
        <v>1614621</v>
      </c>
      <c r="B184">
        <v>3</v>
      </c>
      <c r="C184">
        <v>2</v>
      </c>
      <c r="D184">
        <v>15</v>
      </c>
      <c r="E184">
        <v>2394</v>
      </c>
      <c r="F184">
        <v>2005</v>
      </c>
      <c r="G184">
        <v>20</v>
      </c>
      <c r="H184">
        <v>1.6637995999999999</v>
      </c>
      <c r="I184">
        <v>500000000</v>
      </c>
      <c r="J184">
        <v>400000000</v>
      </c>
      <c r="K184">
        <v>90</v>
      </c>
      <c r="L184">
        <v>11</v>
      </c>
      <c r="M184">
        <v>11</v>
      </c>
      <c r="N184">
        <v>54000000</v>
      </c>
      <c r="O184">
        <v>70000000</v>
      </c>
      <c r="P184">
        <v>100000000</v>
      </c>
      <c r="Q184">
        <v>0</v>
      </c>
      <c r="S184">
        <v>2</v>
      </c>
      <c r="T184">
        <v>2</v>
      </c>
      <c r="U184">
        <v>70</v>
      </c>
      <c r="V184">
        <v>0</v>
      </c>
      <c r="W184">
        <v>30</v>
      </c>
      <c r="X184">
        <v>2</v>
      </c>
      <c r="Z184">
        <v>2</v>
      </c>
      <c r="AA184">
        <v>2</v>
      </c>
      <c r="AB184">
        <v>1</v>
      </c>
      <c r="AC184">
        <v>3</v>
      </c>
      <c r="AD184">
        <v>2</v>
      </c>
      <c r="AE184">
        <v>3</v>
      </c>
      <c r="AF184">
        <v>0</v>
      </c>
      <c r="AG184">
        <v>1</v>
      </c>
      <c r="AH184">
        <v>1</v>
      </c>
      <c r="AI184" s="1">
        <v>1</v>
      </c>
    </row>
    <row r="185" spans="1:35">
      <c r="A185" s="9">
        <v>1614624</v>
      </c>
      <c r="B185">
        <v>3</v>
      </c>
      <c r="C185">
        <v>2</v>
      </c>
      <c r="D185">
        <v>5</v>
      </c>
      <c r="E185">
        <v>2511</v>
      </c>
      <c r="F185">
        <v>2009</v>
      </c>
      <c r="G185">
        <v>15</v>
      </c>
      <c r="H185">
        <v>1.6637995999999999</v>
      </c>
      <c r="I185">
        <v>77000000</v>
      </c>
      <c r="J185">
        <v>16000000</v>
      </c>
      <c r="K185">
        <v>70</v>
      </c>
      <c r="L185">
        <v>5</v>
      </c>
      <c r="M185">
        <v>5</v>
      </c>
      <c r="N185">
        <v>5000000</v>
      </c>
      <c r="O185">
        <v>60000000</v>
      </c>
      <c r="P185">
        <v>100000000</v>
      </c>
      <c r="Q185">
        <v>0</v>
      </c>
      <c r="S185">
        <v>2</v>
      </c>
      <c r="T185">
        <v>2</v>
      </c>
      <c r="U185">
        <v>100</v>
      </c>
      <c r="V185">
        <v>0</v>
      </c>
      <c r="W185">
        <v>0</v>
      </c>
      <c r="X185">
        <v>1</v>
      </c>
      <c r="Y185">
        <v>2500000</v>
      </c>
      <c r="Z185">
        <v>2</v>
      </c>
      <c r="AA185">
        <v>2</v>
      </c>
      <c r="AB185">
        <v>1</v>
      </c>
      <c r="AC185">
        <v>7</v>
      </c>
      <c r="AD185">
        <v>1</v>
      </c>
      <c r="AE185">
        <v>0</v>
      </c>
      <c r="AF185">
        <v>0</v>
      </c>
      <c r="AG185">
        <v>4</v>
      </c>
      <c r="AH185">
        <v>6</v>
      </c>
      <c r="AI185" s="1">
        <v>1</v>
      </c>
    </row>
    <row r="186" spans="1:35">
      <c r="A186" s="9">
        <v>1614629</v>
      </c>
      <c r="B186">
        <v>2</v>
      </c>
      <c r="C186">
        <v>2</v>
      </c>
      <c r="D186">
        <v>5</v>
      </c>
      <c r="E186">
        <v>1410</v>
      </c>
      <c r="F186">
        <v>2014</v>
      </c>
      <c r="G186">
        <v>10</v>
      </c>
      <c r="H186">
        <v>2.6198342000000001</v>
      </c>
      <c r="I186">
        <v>5000000</v>
      </c>
      <c r="J186">
        <v>2800000</v>
      </c>
      <c r="K186">
        <v>2</v>
      </c>
      <c r="L186">
        <v>5</v>
      </c>
      <c r="M186">
        <v>5</v>
      </c>
      <c r="N186">
        <v>2400000</v>
      </c>
      <c r="O186">
        <v>500000</v>
      </c>
      <c r="P186">
        <v>400000</v>
      </c>
      <c r="Q186">
        <v>0</v>
      </c>
      <c r="S186">
        <v>2</v>
      </c>
      <c r="T186">
        <v>2</v>
      </c>
      <c r="U186">
        <v>100</v>
      </c>
      <c r="V186">
        <v>0</v>
      </c>
      <c r="W186">
        <v>0</v>
      </c>
      <c r="X186">
        <v>2</v>
      </c>
      <c r="Z186">
        <v>2</v>
      </c>
      <c r="AA186">
        <v>2</v>
      </c>
      <c r="AB186">
        <v>2</v>
      </c>
      <c r="AD186">
        <v>0</v>
      </c>
      <c r="AE186">
        <v>4</v>
      </c>
      <c r="AF186">
        <v>0</v>
      </c>
      <c r="AG186">
        <v>3</v>
      </c>
      <c r="AH186">
        <v>1</v>
      </c>
      <c r="AI186" s="1">
        <v>2</v>
      </c>
    </row>
    <row r="187" spans="1:35">
      <c r="A187" s="9">
        <v>1614631</v>
      </c>
      <c r="B187">
        <v>1</v>
      </c>
      <c r="C187">
        <v>1</v>
      </c>
      <c r="D187">
        <v>8</v>
      </c>
      <c r="E187">
        <v>2511</v>
      </c>
      <c r="F187">
        <v>2018</v>
      </c>
      <c r="G187">
        <v>6</v>
      </c>
      <c r="H187">
        <v>259.94695999999999</v>
      </c>
      <c r="I187">
        <v>15000000</v>
      </c>
      <c r="J187">
        <v>12000000</v>
      </c>
      <c r="K187">
        <v>80</v>
      </c>
      <c r="L187">
        <v>8</v>
      </c>
      <c r="M187">
        <v>5</v>
      </c>
      <c r="N187">
        <v>1440000</v>
      </c>
      <c r="O187">
        <v>7500000</v>
      </c>
      <c r="P187">
        <v>-9</v>
      </c>
      <c r="Q187">
        <v>0</v>
      </c>
      <c r="S187">
        <v>2</v>
      </c>
      <c r="T187">
        <v>2</v>
      </c>
      <c r="U187">
        <v>100</v>
      </c>
      <c r="V187">
        <v>0</v>
      </c>
      <c r="W187">
        <v>0</v>
      </c>
      <c r="X187">
        <v>2</v>
      </c>
      <c r="Z187">
        <v>2</v>
      </c>
      <c r="AA187">
        <v>2</v>
      </c>
      <c r="AB187">
        <v>1</v>
      </c>
      <c r="AC187">
        <v>1</v>
      </c>
      <c r="AD187">
        <v>4</v>
      </c>
      <c r="AE187">
        <v>0</v>
      </c>
      <c r="AF187">
        <v>1</v>
      </c>
      <c r="AG187">
        <v>0</v>
      </c>
      <c r="AH187">
        <v>8</v>
      </c>
      <c r="AI187" s="1">
        <v>4</v>
      </c>
    </row>
    <row r="188" spans="1:35">
      <c r="A188" s="9">
        <v>1614633</v>
      </c>
      <c r="B188">
        <v>1</v>
      </c>
      <c r="C188">
        <v>3</v>
      </c>
      <c r="D188">
        <v>400</v>
      </c>
      <c r="E188">
        <v>2410</v>
      </c>
      <c r="F188">
        <v>2013</v>
      </c>
      <c r="G188">
        <v>35</v>
      </c>
      <c r="H188">
        <v>1.574964</v>
      </c>
      <c r="I188">
        <v>10000000000</v>
      </c>
      <c r="J188">
        <v>12500000000</v>
      </c>
      <c r="K188">
        <v>60</v>
      </c>
      <c r="L188">
        <v>350</v>
      </c>
      <c r="M188">
        <v>326</v>
      </c>
      <c r="N188">
        <v>1400000000</v>
      </c>
      <c r="O188">
        <v>2000000000</v>
      </c>
      <c r="P188">
        <v>800000000</v>
      </c>
      <c r="Q188">
        <v>60</v>
      </c>
      <c r="R188">
        <v>1</v>
      </c>
      <c r="S188">
        <v>2</v>
      </c>
      <c r="T188">
        <v>2</v>
      </c>
      <c r="U188">
        <v>50</v>
      </c>
      <c r="V188">
        <v>40</v>
      </c>
      <c r="W188">
        <v>0</v>
      </c>
      <c r="X188">
        <v>2</v>
      </c>
      <c r="Z188">
        <v>1</v>
      </c>
      <c r="AA188">
        <v>2</v>
      </c>
      <c r="AB188">
        <v>1</v>
      </c>
      <c r="AC188">
        <v>6</v>
      </c>
      <c r="AD188">
        <v>2</v>
      </c>
      <c r="AE188">
        <v>4</v>
      </c>
      <c r="AF188">
        <v>1</v>
      </c>
      <c r="AG188">
        <v>1</v>
      </c>
      <c r="AH188">
        <v>1</v>
      </c>
      <c r="AI188" s="1">
        <v>4</v>
      </c>
    </row>
    <row r="189" spans="1:35">
      <c r="A189" s="9">
        <v>1614636</v>
      </c>
      <c r="B189">
        <v>3</v>
      </c>
      <c r="C189">
        <v>3</v>
      </c>
      <c r="D189">
        <v>300</v>
      </c>
      <c r="E189">
        <v>2410</v>
      </c>
      <c r="F189">
        <v>2010</v>
      </c>
      <c r="G189">
        <v>12</v>
      </c>
      <c r="H189">
        <v>1</v>
      </c>
      <c r="I189">
        <v>40000000000</v>
      </c>
      <c r="J189">
        <v>37500000000</v>
      </c>
      <c r="K189">
        <v>65</v>
      </c>
      <c r="L189">
        <v>300</v>
      </c>
      <c r="M189">
        <v>250</v>
      </c>
      <c r="N189">
        <v>2000000000</v>
      </c>
      <c r="O189">
        <v>10000000000</v>
      </c>
      <c r="P189">
        <v>12000000000</v>
      </c>
      <c r="Q189">
        <v>0</v>
      </c>
      <c r="R189">
        <v>1</v>
      </c>
      <c r="S189">
        <v>1</v>
      </c>
      <c r="T189">
        <v>2</v>
      </c>
      <c r="U189">
        <v>50</v>
      </c>
      <c r="V189">
        <v>50</v>
      </c>
      <c r="W189">
        <v>0</v>
      </c>
      <c r="X189">
        <v>2</v>
      </c>
      <c r="Z189">
        <v>1</v>
      </c>
      <c r="AA189">
        <v>1</v>
      </c>
      <c r="AB189">
        <v>1</v>
      </c>
      <c r="AC189">
        <v>30</v>
      </c>
      <c r="AD189">
        <v>4</v>
      </c>
      <c r="AE189">
        <v>4</v>
      </c>
      <c r="AF189">
        <v>1</v>
      </c>
      <c r="AG189">
        <v>0</v>
      </c>
      <c r="AH189">
        <v>4</v>
      </c>
      <c r="AI189" s="1">
        <v>2</v>
      </c>
    </row>
    <row r="190" spans="1:35">
      <c r="A190" s="9">
        <v>1614637</v>
      </c>
      <c r="B190">
        <v>2</v>
      </c>
      <c r="C190">
        <v>2</v>
      </c>
      <c r="D190">
        <v>250</v>
      </c>
      <c r="E190">
        <v>1071</v>
      </c>
      <c r="F190">
        <v>2017</v>
      </c>
      <c r="G190">
        <v>30</v>
      </c>
      <c r="H190">
        <v>1.6504706</v>
      </c>
      <c r="I190">
        <v>3000000000</v>
      </c>
      <c r="J190">
        <v>2000000000</v>
      </c>
      <c r="K190">
        <v>85</v>
      </c>
      <c r="L190">
        <v>50</v>
      </c>
      <c r="M190">
        <v>25</v>
      </c>
      <c r="N190">
        <v>1000000000</v>
      </c>
      <c r="O190">
        <v>500000000</v>
      </c>
      <c r="P190">
        <v>800000000</v>
      </c>
      <c r="Q190">
        <v>0</v>
      </c>
      <c r="R190">
        <v>1</v>
      </c>
      <c r="S190">
        <v>1</v>
      </c>
      <c r="T190">
        <v>1</v>
      </c>
      <c r="U190">
        <v>50</v>
      </c>
      <c r="V190">
        <v>10</v>
      </c>
      <c r="W190">
        <v>40</v>
      </c>
      <c r="X190">
        <v>1</v>
      </c>
      <c r="Y190">
        <v>45000000</v>
      </c>
      <c r="Z190">
        <v>1</v>
      </c>
      <c r="AA190">
        <v>1</v>
      </c>
      <c r="AB190">
        <v>1</v>
      </c>
      <c r="AC190">
        <v>5</v>
      </c>
      <c r="AD190">
        <v>4</v>
      </c>
      <c r="AE190">
        <v>3</v>
      </c>
      <c r="AF190">
        <v>2</v>
      </c>
      <c r="AG190">
        <v>0</v>
      </c>
      <c r="AH190">
        <v>8</v>
      </c>
      <c r="AI190" s="1">
        <v>2</v>
      </c>
    </row>
    <row r="191" spans="1:35">
      <c r="A191" s="9">
        <v>1614639</v>
      </c>
      <c r="B191">
        <v>2</v>
      </c>
      <c r="C191">
        <v>2</v>
      </c>
      <c r="D191">
        <v>157</v>
      </c>
      <c r="E191">
        <v>1071</v>
      </c>
      <c r="F191">
        <v>2017</v>
      </c>
      <c r="G191">
        <v>47</v>
      </c>
      <c r="H191">
        <v>1.6504706</v>
      </c>
      <c r="I191">
        <v>30000000000</v>
      </c>
      <c r="J191">
        <v>25000000000</v>
      </c>
      <c r="K191">
        <v>80</v>
      </c>
      <c r="L191">
        <v>116</v>
      </c>
      <c r="M191">
        <v>110</v>
      </c>
      <c r="N191">
        <v>113300000</v>
      </c>
      <c r="O191">
        <v>1000000000</v>
      </c>
      <c r="P191">
        <v>2000000000</v>
      </c>
      <c r="Q191">
        <v>0</v>
      </c>
      <c r="R191">
        <v>1</v>
      </c>
      <c r="S191">
        <v>1</v>
      </c>
      <c r="T191">
        <v>1</v>
      </c>
      <c r="U191">
        <v>100</v>
      </c>
      <c r="V191">
        <v>0</v>
      </c>
      <c r="W191">
        <v>0</v>
      </c>
      <c r="X191">
        <v>1</v>
      </c>
      <c r="Y191">
        <v>-9</v>
      </c>
      <c r="Z191">
        <v>2</v>
      </c>
      <c r="AA191">
        <v>2</v>
      </c>
      <c r="AB191">
        <v>1</v>
      </c>
      <c r="AC191">
        <v>15</v>
      </c>
      <c r="AD191">
        <v>4</v>
      </c>
      <c r="AE191">
        <v>0</v>
      </c>
      <c r="AF191">
        <v>0</v>
      </c>
      <c r="AG191">
        <v>4</v>
      </c>
      <c r="AH191">
        <v>8</v>
      </c>
      <c r="AI191" s="1">
        <v>1</v>
      </c>
    </row>
    <row r="192" spans="1:35">
      <c r="A192" s="9">
        <v>1614640</v>
      </c>
      <c r="B192">
        <v>1</v>
      </c>
      <c r="C192">
        <v>1</v>
      </c>
      <c r="D192">
        <v>15</v>
      </c>
      <c r="E192">
        <v>1080</v>
      </c>
      <c r="F192">
        <v>2013</v>
      </c>
      <c r="G192">
        <v>18</v>
      </c>
      <c r="H192">
        <v>30.085899999999999</v>
      </c>
      <c r="I192">
        <v>100000000</v>
      </c>
      <c r="J192">
        <v>55000000</v>
      </c>
      <c r="K192">
        <v>100</v>
      </c>
      <c r="L192">
        <v>15</v>
      </c>
      <c r="M192">
        <v>5</v>
      </c>
      <c r="N192">
        <v>40000000</v>
      </c>
      <c r="O192">
        <v>45000000</v>
      </c>
      <c r="P192">
        <v>60000000</v>
      </c>
      <c r="Q192">
        <v>0</v>
      </c>
      <c r="S192">
        <v>2</v>
      </c>
      <c r="T192">
        <v>2</v>
      </c>
      <c r="U192">
        <v>40</v>
      </c>
      <c r="V192">
        <v>0</v>
      </c>
      <c r="W192">
        <v>50</v>
      </c>
      <c r="X192">
        <v>2</v>
      </c>
      <c r="Z192">
        <v>2</v>
      </c>
      <c r="AA192">
        <v>2</v>
      </c>
      <c r="AB192">
        <v>2</v>
      </c>
      <c r="AD192">
        <v>0</v>
      </c>
      <c r="AE192">
        <v>0</v>
      </c>
      <c r="AF192">
        <v>1</v>
      </c>
      <c r="AG192">
        <v>0</v>
      </c>
      <c r="AH192">
        <v>14</v>
      </c>
      <c r="AI192" s="1">
        <v>4</v>
      </c>
    </row>
    <row r="193" spans="1:35">
      <c r="A193" s="9">
        <v>1614645</v>
      </c>
      <c r="B193">
        <v>4</v>
      </c>
      <c r="C193">
        <v>1</v>
      </c>
      <c r="D193">
        <v>6</v>
      </c>
      <c r="E193">
        <v>3100</v>
      </c>
      <c r="F193">
        <v>2012</v>
      </c>
      <c r="G193">
        <v>15</v>
      </c>
      <c r="H193">
        <v>18.668731999999999</v>
      </c>
      <c r="I193">
        <v>45500000</v>
      </c>
      <c r="J193">
        <v>37800000</v>
      </c>
      <c r="K193">
        <v>60</v>
      </c>
      <c r="L193">
        <v>4</v>
      </c>
      <c r="M193">
        <v>4</v>
      </c>
      <c r="N193">
        <v>4100000</v>
      </c>
      <c r="O193">
        <v>14600000</v>
      </c>
      <c r="P193">
        <v>84270000</v>
      </c>
      <c r="Q193">
        <v>0</v>
      </c>
      <c r="S193">
        <v>2</v>
      </c>
      <c r="T193">
        <v>2</v>
      </c>
      <c r="U193">
        <v>70</v>
      </c>
      <c r="V193">
        <v>0</v>
      </c>
      <c r="W193">
        <v>10</v>
      </c>
      <c r="X193">
        <v>2</v>
      </c>
      <c r="Z193">
        <v>2</v>
      </c>
      <c r="AA193">
        <v>2</v>
      </c>
      <c r="AB193">
        <v>1</v>
      </c>
      <c r="AC193">
        <v>5</v>
      </c>
      <c r="AD193">
        <v>0</v>
      </c>
      <c r="AE193">
        <v>0</v>
      </c>
      <c r="AF193">
        <v>0</v>
      </c>
      <c r="AG193">
        <v>0</v>
      </c>
      <c r="AH193">
        <v>14</v>
      </c>
      <c r="AI193" s="1">
        <v>2</v>
      </c>
    </row>
    <row r="194" spans="1:35">
      <c r="A194" s="9">
        <v>1614647</v>
      </c>
      <c r="B194">
        <v>4</v>
      </c>
      <c r="C194">
        <v>2</v>
      </c>
      <c r="D194">
        <v>5</v>
      </c>
      <c r="E194">
        <v>1811</v>
      </c>
      <c r="F194">
        <v>2016</v>
      </c>
      <c r="G194">
        <v>1</v>
      </c>
      <c r="H194">
        <v>6.9057845999999996</v>
      </c>
      <c r="I194">
        <v>-9</v>
      </c>
      <c r="J194">
        <v>-9</v>
      </c>
      <c r="K194">
        <v>3</v>
      </c>
      <c r="L194">
        <v>3</v>
      </c>
      <c r="M194">
        <v>4</v>
      </c>
      <c r="N194">
        <v>-9</v>
      </c>
      <c r="O194">
        <v>-9</v>
      </c>
      <c r="P194">
        <v>20000000</v>
      </c>
      <c r="Q194">
        <v>0</v>
      </c>
      <c r="S194">
        <v>2</v>
      </c>
      <c r="T194">
        <v>2</v>
      </c>
      <c r="U194">
        <v>100</v>
      </c>
      <c r="V194">
        <v>0</v>
      </c>
      <c r="W194">
        <v>0</v>
      </c>
      <c r="X194">
        <v>2</v>
      </c>
      <c r="Z194">
        <v>2</v>
      </c>
      <c r="AA194">
        <v>2</v>
      </c>
      <c r="AB194">
        <v>1</v>
      </c>
      <c r="AC194">
        <v>5</v>
      </c>
      <c r="AD194">
        <v>3</v>
      </c>
      <c r="AE194">
        <v>3</v>
      </c>
      <c r="AF194">
        <v>2</v>
      </c>
      <c r="AG194">
        <v>3</v>
      </c>
      <c r="AH194">
        <v>8</v>
      </c>
      <c r="AI194" s="1">
        <v>2</v>
      </c>
    </row>
    <row r="195" spans="1:35">
      <c r="A195" s="9">
        <v>1614649</v>
      </c>
      <c r="B195">
        <v>1</v>
      </c>
      <c r="C195">
        <v>3</v>
      </c>
      <c r="D195">
        <v>8</v>
      </c>
      <c r="E195">
        <v>2599</v>
      </c>
      <c r="F195">
        <v>2003</v>
      </c>
      <c r="G195">
        <v>38</v>
      </c>
      <c r="H195">
        <v>1.574964</v>
      </c>
      <c r="I195">
        <v>6000000</v>
      </c>
      <c r="J195">
        <v>8000000</v>
      </c>
      <c r="K195">
        <v>45</v>
      </c>
      <c r="L195">
        <v>8</v>
      </c>
      <c r="M195">
        <v>8</v>
      </c>
      <c r="N195">
        <v>4800000</v>
      </c>
      <c r="O195">
        <v>750000</v>
      </c>
      <c r="P195">
        <v>500000</v>
      </c>
      <c r="Q195">
        <v>0</v>
      </c>
      <c r="S195">
        <v>1</v>
      </c>
      <c r="T195">
        <v>1</v>
      </c>
      <c r="U195">
        <v>25</v>
      </c>
      <c r="V195">
        <v>20</v>
      </c>
      <c r="W195">
        <v>15</v>
      </c>
      <c r="X195">
        <v>2</v>
      </c>
      <c r="Z195">
        <v>2</v>
      </c>
      <c r="AA195">
        <v>2</v>
      </c>
      <c r="AB195">
        <v>2</v>
      </c>
      <c r="AD195">
        <v>2</v>
      </c>
      <c r="AE195">
        <v>4</v>
      </c>
      <c r="AF195">
        <v>4</v>
      </c>
      <c r="AG195">
        <v>4</v>
      </c>
      <c r="AH195">
        <v>2</v>
      </c>
      <c r="AI195" s="1">
        <v>2</v>
      </c>
    </row>
    <row r="196" spans="1:35">
      <c r="A196" s="9">
        <v>1614651</v>
      </c>
      <c r="B196">
        <v>4</v>
      </c>
      <c r="C196">
        <v>2</v>
      </c>
      <c r="D196">
        <v>6</v>
      </c>
      <c r="E196">
        <v>1071</v>
      </c>
      <c r="F196">
        <v>2022</v>
      </c>
      <c r="G196">
        <v>3</v>
      </c>
      <c r="H196">
        <v>1.8331877999999999</v>
      </c>
      <c r="I196">
        <v>25000000</v>
      </c>
      <c r="J196">
        <v>-9</v>
      </c>
      <c r="K196">
        <v>2</v>
      </c>
      <c r="L196">
        <v>5</v>
      </c>
      <c r="M196">
        <v>5</v>
      </c>
      <c r="N196">
        <v>-9</v>
      </c>
      <c r="O196">
        <v>7000000</v>
      </c>
      <c r="P196">
        <v>12000000</v>
      </c>
      <c r="Q196">
        <v>0</v>
      </c>
      <c r="S196">
        <v>2</v>
      </c>
      <c r="T196">
        <v>1</v>
      </c>
      <c r="U196">
        <v>7</v>
      </c>
      <c r="V196">
        <v>0</v>
      </c>
      <c r="W196">
        <v>90</v>
      </c>
      <c r="X196">
        <v>1</v>
      </c>
      <c r="Y196">
        <v>8000000</v>
      </c>
      <c r="Z196">
        <v>1</v>
      </c>
      <c r="AA196">
        <v>1</v>
      </c>
      <c r="AB196">
        <v>1</v>
      </c>
      <c r="AC196">
        <v>5</v>
      </c>
      <c r="AD196">
        <v>2</v>
      </c>
      <c r="AE196">
        <v>4</v>
      </c>
      <c r="AF196">
        <v>0</v>
      </c>
      <c r="AG196">
        <v>2</v>
      </c>
      <c r="AH196">
        <v>13</v>
      </c>
      <c r="AI196" s="1">
        <v>2</v>
      </c>
    </row>
    <row r="197" spans="1:35">
      <c r="A197" s="9">
        <v>1614654</v>
      </c>
      <c r="B197">
        <v>2</v>
      </c>
      <c r="C197">
        <v>2</v>
      </c>
      <c r="D197">
        <v>20</v>
      </c>
      <c r="E197">
        <v>1071</v>
      </c>
      <c r="F197">
        <v>2007</v>
      </c>
      <c r="G197">
        <v>33</v>
      </c>
      <c r="H197">
        <v>1.6504706</v>
      </c>
      <c r="I197">
        <v>20000000</v>
      </c>
      <c r="J197">
        <v>30000000</v>
      </c>
      <c r="K197">
        <v>1</v>
      </c>
      <c r="L197">
        <v>25</v>
      </c>
      <c r="M197">
        <v>30</v>
      </c>
      <c r="N197">
        <v>12000000</v>
      </c>
      <c r="O197">
        <v>-9</v>
      </c>
      <c r="P197">
        <v>3000000</v>
      </c>
      <c r="Q197">
        <v>0</v>
      </c>
      <c r="R197">
        <v>1</v>
      </c>
      <c r="S197">
        <v>1</v>
      </c>
      <c r="T197">
        <v>2</v>
      </c>
      <c r="U197">
        <v>27</v>
      </c>
      <c r="V197">
        <v>30</v>
      </c>
      <c r="W197">
        <v>30</v>
      </c>
      <c r="X197">
        <v>1</v>
      </c>
      <c r="Y197">
        <v>1800000</v>
      </c>
      <c r="Z197">
        <v>1</v>
      </c>
      <c r="AA197">
        <v>1</v>
      </c>
      <c r="AB197">
        <v>1</v>
      </c>
      <c r="AC197">
        <v>0</v>
      </c>
      <c r="AD197">
        <v>1</v>
      </c>
      <c r="AE197">
        <v>3</v>
      </c>
      <c r="AF197">
        <v>0</v>
      </c>
      <c r="AG197">
        <v>4</v>
      </c>
      <c r="AH197">
        <v>12</v>
      </c>
      <c r="AI197" s="1">
        <v>2</v>
      </c>
    </row>
    <row r="198" spans="1:35">
      <c r="A198" s="9">
        <v>1614655</v>
      </c>
      <c r="B198">
        <v>2</v>
      </c>
      <c r="C198">
        <v>1</v>
      </c>
      <c r="D198">
        <v>5</v>
      </c>
      <c r="E198">
        <v>2511</v>
      </c>
      <c r="F198">
        <v>2019</v>
      </c>
      <c r="G198">
        <v>15</v>
      </c>
      <c r="H198">
        <v>64.973600000000005</v>
      </c>
      <c r="I198">
        <v>7000000</v>
      </c>
      <c r="J198">
        <v>-9</v>
      </c>
      <c r="K198">
        <v>30</v>
      </c>
      <c r="L198">
        <v>4</v>
      </c>
      <c r="M198">
        <v>3</v>
      </c>
      <c r="N198">
        <v>2000000</v>
      </c>
      <c r="O198">
        <v>5000000</v>
      </c>
      <c r="P198">
        <v>550000</v>
      </c>
      <c r="Q198">
        <v>0</v>
      </c>
      <c r="S198">
        <v>2</v>
      </c>
      <c r="T198">
        <v>2</v>
      </c>
      <c r="U198">
        <v>100</v>
      </c>
      <c r="V198">
        <v>0</v>
      </c>
      <c r="W198">
        <v>0</v>
      </c>
      <c r="X198">
        <v>1</v>
      </c>
      <c r="Y198">
        <v>3000000</v>
      </c>
      <c r="Z198">
        <v>2</v>
      </c>
      <c r="AA198">
        <v>2</v>
      </c>
      <c r="AB198">
        <v>1</v>
      </c>
      <c r="AC198">
        <v>5</v>
      </c>
      <c r="AD198">
        <v>1</v>
      </c>
      <c r="AE198">
        <v>3</v>
      </c>
      <c r="AF198">
        <v>1</v>
      </c>
      <c r="AG198">
        <v>1</v>
      </c>
      <c r="AH198">
        <v>14</v>
      </c>
      <c r="AI198" s="1">
        <v>2</v>
      </c>
    </row>
    <row r="199" spans="1:35">
      <c r="A199" s="9">
        <v>1614656</v>
      </c>
      <c r="B199">
        <v>4</v>
      </c>
      <c r="C199">
        <v>2</v>
      </c>
      <c r="D199">
        <v>25</v>
      </c>
      <c r="E199">
        <v>1622</v>
      </c>
      <c r="F199">
        <v>1999</v>
      </c>
      <c r="G199">
        <v>30</v>
      </c>
      <c r="H199">
        <v>6.9057845999999996</v>
      </c>
      <c r="I199">
        <v>50000000</v>
      </c>
      <c r="J199">
        <v>45000000</v>
      </c>
      <c r="K199">
        <v>30</v>
      </c>
      <c r="L199">
        <v>10</v>
      </c>
      <c r="M199">
        <v>10</v>
      </c>
      <c r="N199">
        <v>20000000</v>
      </c>
      <c r="O199">
        <v>7000000</v>
      </c>
      <c r="P199">
        <v>100000000</v>
      </c>
      <c r="Q199">
        <v>0</v>
      </c>
      <c r="R199">
        <v>2</v>
      </c>
      <c r="S199">
        <v>2</v>
      </c>
      <c r="T199">
        <v>2</v>
      </c>
      <c r="U199">
        <v>90</v>
      </c>
      <c r="V199">
        <v>0</v>
      </c>
      <c r="W199">
        <v>0</v>
      </c>
      <c r="X199">
        <v>2</v>
      </c>
      <c r="Z199">
        <v>2</v>
      </c>
      <c r="AA199">
        <v>2</v>
      </c>
      <c r="AB199">
        <v>2</v>
      </c>
      <c r="AD199">
        <v>0</v>
      </c>
      <c r="AE199">
        <v>0</v>
      </c>
      <c r="AF199">
        <v>0</v>
      </c>
      <c r="AG199">
        <v>0</v>
      </c>
      <c r="AH199">
        <v>14</v>
      </c>
      <c r="AI199" s="1">
        <v>4</v>
      </c>
    </row>
    <row r="200" spans="1:35">
      <c r="A200" s="9">
        <v>1614658</v>
      </c>
      <c r="B200">
        <v>4</v>
      </c>
      <c r="C200">
        <v>1</v>
      </c>
      <c r="D200">
        <v>28</v>
      </c>
      <c r="E200">
        <v>1061</v>
      </c>
      <c r="F200">
        <v>2017</v>
      </c>
      <c r="G200">
        <v>9</v>
      </c>
      <c r="H200">
        <v>1.6450883999999999</v>
      </c>
      <c r="I200">
        <v>4150000000</v>
      </c>
      <c r="J200">
        <v>4000000000</v>
      </c>
      <c r="K200">
        <v>45</v>
      </c>
      <c r="L200">
        <v>28</v>
      </c>
      <c r="M200">
        <v>25</v>
      </c>
      <c r="N200">
        <v>200000000</v>
      </c>
      <c r="O200">
        <v>500000000</v>
      </c>
      <c r="P200">
        <v>6000000000</v>
      </c>
      <c r="Q200">
        <v>0</v>
      </c>
      <c r="R200">
        <v>2</v>
      </c>
      <c r="S200">
        <v>2</v>
      </c>
      <c r="T200">
        <v>2</v>
      </c>
      <c r="U200">
        <v>80</v>
      </c>
      <c r="V200">
        <v>0</v>
      </c>
      <c r="W200">
        <v>0</v>
      </c>
      <c r="X200">
        <v>2</v>
      </c>
      <c r="Z200">
        <v>2</v>
      </c>
      <c r="AA200">
        <v>2</v>
      </c>
      <c r="AB200">
        <v>2</v>
      </c>
      <c r="AD200">
        <v>1</v>
      </c>
      <c r="AE200">
        <v>1</v>
      </c>
      <c r="AF200">
        <v>0</v>
      </c>
      <c r="AG200">
        <v>0</v>
      </c>
      <c r="AH200">
        <v>14</v>
      </c>
      <c r="AI200" s="1">
        <v>2</v>
      </c>
    </row>
    <row r="201" spans="1:35">
      <c r="A201" s="9">
        <v>1614669</v>
      </c>
      <c r="B201">
        <v>4</v>
      </c>
      <c r="C201">
        <v>2</v>
      </c>
      <c r="D201">
        <v>15</v>
      </c>
      <c r="E201">
        <v>1811</v>
      </c>
      <c r="F201">
        <v>2012</v>
      </c>
      <c r="G201">
        <v>13</v>
      </c>
      <c r="H201">
        <v>6.9057845999999996</v>
      </c>
      <c r="I201">
        <v>35000000</v>
      </c>
      <c r="J201">
        <v>35000000</v>
      </c>
      <c r="K201">
        <v>85</v>
      </c>
      <c r="L201">
        <v>8</v>
      </c>
      <c r="M201">
        <v>8</v>
      </c>
      <c r="N201">
        <v>10000000</v>
      </c>
      <c r="O201">
        <v>12000000</v>
      </c>
      <c r="P201">
        <v>50000000</v>
      </c>
      <c r="Q201">
        <v>0</v>
      </c>
      <c r="S201">
        <v>2</v>
      </c>
      <c r="T201">
        <v>2</v>
      </c>
      <c r="U201">
        <v>85</v>
      </c>
      <c r="V201">
        <v>0</v>
      </c>
      <c r="W201">
        <v>0</v>
      </c>
      <c r="X201">
        <v>2</v>
      </c>
      <c r="Z201">
        <v>2</v>
      </c>
      <c r="AA201">
        <v>2</v>
      </c>
      <c r="AB201">
        <v>2</v>
      </c>
      <c r="AD201">
        <v>2</v>
      </c>
      <c r="AE201">
        <v>0</v>
      </c>
      <c r="AF201">
        <v>0</v>
      </c>
      <c r="AG201">
        <v>0</v>
      </c>
      <c r="AH201">
        <v>8</v>
      </c>
      <c r="AI201" s="1">
        <v>4</v>
      </c>
    </row>
    <row r="202" spans="1:35">
      <c r="A202" s="9">
        <v>1614672</v>
      </c>
      <c r="B202">
        <v>4</v>
      </c>
      <c r="C202">
        <v>1</v>
      </c>
      <c r="D202">
        <v>6</v>
      </c>
      <c r="E202">
        <v>1079</v>
      </c>
      <c r="F202">
        <v>2012</v>
      </c>
      <c r="G202">
        <v>14</v>
      </c>
      <c r="H202">
        <v>1.6450883999999999</v>
      </c>
      <c r="I202">
        <v>20730000</v>
      </c>
      <c r="J202">
        <v>16980000</v>
      </c>
      <c r="K202">
        <v>70</v>
      </c>
      <c r="L202">
        <v>3</v>
      </c>
      <c r="M202">
        <v>3</v>
      </c>
      <c r="N202">
        <v>3000000</v>
      </c>
      <c r="O202">
        <v>12000000</v>
      </c>
      <c r="P202">
        <v>49500000</v>
      </c>
      <c r="Q202">
        <v>0</v>
      </c>
      <c r="S202">
        <v>2</v>
      </c>
      <c r="T202">
        <v>2</v>
      </c>
      <c r="U202">
        <v>80</v>
      </c>
      <c r="V202">
        <v>0</v>
      </c>
      <c r="W202">
        <v>0</v>
      </c>
      <c r="X202">
        <v>2</v>
      </c>
      <c r="Z202">
        <v>2</v>
      </c>
      <c r="AA202">
        <v>2</v>
      </c>
      <c r="AB202">
        <v>1</v>
      </c>
      <c r="AC202">
        <v>8</v>
      </c>
      <c r="AD202">
        <v>2</v>
      </c>
      <c r="AE202">
        <v>1</v>
      </c>
      <c r="AF202">
        <v>0</v>
      </c>
      <c r="AG202">
        <v>0</v>
      </c>
      <c r="AH202">
        <v>14</v>
      </c>
      <c r="AI202" s="1">
        <v>2</v>
      </c>
    </row>
    <row r="203" spans="1:35">
      <c r="A203" s="9">
        <v>1614677</v>
      </c>
      <c r="B203">
        <v>1</v>
      </c>
      <c r="C203">
        <v>1</v>
      </c>
      <c r="D203">
        <v>10</v>
      </c>
      <c r="E203">
        <v>3100</v>
      </c>
      <c r="F203">
        <v>2010</v>
      </c>
      <c r="G203">
        <v>12</v>
      </c>
      <c r="H203">
        <v>147.28435999999999</v>
      </c>
      <c r="I203">
        <v>-9</v>
      </c>
      <c r="J203">
        <v>500000000</v>
      </c>
      <c r="K203">
        <v>80</v>
      </c>
      <c r="L203">
        <v>10</v>
      </c>
      <c r="M203">
        <v>15</v>
      </c>
      <c r="N203">
        <v>11600000</v>
      </c>
      <c r="O203">
        <v>60000000</v>
      </c>
      <c r="P203">
        <v>-9</v>
      </c>
      <c r="Q203">
        <v>0</v>
      </c>
      <c r="S203">
        <v>1</v>
      </c>
      <c r="T203">
        <v>2</v>
      </c>
      <c r="U203">
        <v>100</v>
      </c>
      <c r="V203">
        <v>0</v>
      </c>
      <c r="W203">
        <v>0</v>
      </c>
      <c r="X203">
        <v>2</v>
      </c>
      <c r="Z203">
        <v>2</v>
      </c>
      <c r="AA203">
        <v>2</v>
      </c>
      <c r="AB203">
        <v>1</v>
      </c>
      <c r="AC203">
        <v>6</v>
      </c>
      <c r="AD203">
        <v>2</v>
      </c>
      <c r="AE203">
        <v>2</v>
      </c>
      <c r="AF203">
        <v>0</v>
      </c>
      <c r="AG203">
        <v>2</v>
      </c>
      <c r="AH203">
        <v>1</v>
      </c>
      <c r="AI203" s="1">
        <v>2</v>
      </c>
    </row>
    <row r="204" spans="1:35">
      <c r="A204" s="9">
        <v>1614679</v>
      </c>
      <c r="B204">
        <v>2</v>
      </c>
      <c r="C204">
        <v>2</v>
      </c>
      <c r="D204">
        <v>75</v>
      </c>
      <c r="E204">
        <v>1101</v>
      </c>
      <c r="F204">
        <v>2018</v>
      </c>
      <c r="G204">
        <v>5</v>
      </c>
      <c r="H204">
        <v>2.6198342000000001</v>
      </c>
      <c r="I204">
        <v>600000000</v>
      </c>
      <c r="J204">
        <v>-9</v>
      </c>
      <c r="K204">
        <v>70</v>
      </c>
      <c r="L204">
        <v>50</v>
      </c>
      <c r="M204">
        <v>40</v>
      </c>
      <c r="N204">
        <v>102000000</v>
      </c>
      <c r="O204">
        <v>-9</v>
      </c>
      <c r="P204">
        <v>2000000000</v>
      </c>
      <c r="Q204">
        <v>0</v>
      </c>
      <c r="R204">
        <v>2</v>
      </c>
      <c r="S204">
        <v>1</v>
      </c>
      <c r="T204">
        <v>2</v>
      </c>
      <c r="U204">
        <v>30</v>
      </c>
      <c r="V204">
        <v>0</v>
      </c>
      <c r="W204">
        <v>70</v>
      </c>
      <c r="X204">
        <v>2</v>
      </c>
      <c r="Z204">
        <v>2</v>
      </c>
      <c r="AA204">
        <v>2</v>
      </c>
      <c r="AB204">
        <v>1</v>
      </c>
      <c r="AC204">
        <v>0</v>
      </c>
      <c r="AD204">
        <v>1</v>
      </c>
      <c r="AE204">
        <v>3</v>
      </c>
      <c r="AF204">
        <v>0</v>
      </c>
      <c r="AG204">
        <v>4</v>
      </c>
      <c r="AH204">
        <v>14</v>
      </c>
      <c r="AI204" s="1">
        <v>2</v>
      </c>
    </row>
    <row r="205" spans="1:35">
      <c r="A205" s="9">
        <v>1614682</v>
      </c>
      <c r="B205">
        <v>3</v>
      </c>
      <c r="C205">
        <v>1</v>
      </c>
      <c r="D205">
        <v>20</v>
      </c>
      <c r="E205">
        <v>1061</v>
      </c>
      <c r="F205">
        <v>2013</v>
      </c>
      <c r="G205">
        <v>12</v>
      </c>
      <c r="H205">
        <v>7.8952764999999996</v>
      </c>
      <c r="I205">
        <v>90000000</v>
      </c>
      <c r="J205">
        <v>70000000</v>
      </c>
      <c r="K205">
        <v>90</v>
      </c>
      <c r="L205">
        <v>8</v>
      </c>
      <c r="M205">
        <v>7</v>
      </c>
      <c r="N205">
        <v>24000000</v>
      </c>
      <c r="O205">
        <v>30000000</v>
      </c>
      <c r="P205">
        <v>150000000</v>
      </c>
      <c r="Q205">
        <v>0</v>
      </c>
      <c r="R205">
        <v>1</v>
      </c>
      <c r="S205">
        <v>2</v>
      </c>
      <c r="T205">
        <v>2</v>
      </c>
      <c r="U205">
        <v>60</v>
      </c>
      <c r="V205">
        <v>0</v>
      </c>
      <c r="W205">
        <v>0</v>
      </c>
      <c r="X205">
        <v>2</v>
      </c>
      <c r="Z205">
        <v>2</v>
      </c>
      <c r="AA205">
        <v>2</v>
      </c>
      <c r="AB205">
        <v>1</v>
      </c>
      <c r="AC205">
        <v>3</v>
      </c>
      <c r="AD205">
        <v>4</v>
      </c>
      <c r="AE205">
        <v>3</v>
      </c>
      <c r="AF205">
        <v>0</v>
      </c>
      <c r="AG205">
        <v>1</v>
      </c>
      <c r="AH205">
        <v>8</v>
      </c>
      <c r="AI205" s="1">
        <v>1</v>
      </c>
    </row>
    <row r="206" spans="1:35">
      <c r="A206" s="9">
        <v>1614686</v>
      </c>
      <c r="B206">
        <v>4</v>
      </c>
      <c r="C206">
        <v>1</v>
      </c>
      <c r="D206">
        <v>6</v>
      </c>
      <c r="E206">
        <v>3100</v>
      </c>
      <c r="F206">
        <v>2009</v>
      </c>
      <c r="G206">
        <v>19</v>
      </c>
      <c r="H206">
        <v>18.668731999999999</v>
      </c>
      <c r="I206">
        <v>16500000</v>
      </c>
      <c r="J206">
        <v>8170000</v>
      </c>
      <c r="K206">
        <v>60</v>
      </c>
      <c r="L206">
        <v>2</v>
      </c>
      <c r="M206">
        <v>2</v>
      </c>
      <c r="N206">
        <v>2160000</v>
      </c>
      <c r="O206">
        <v>3000000</v>
      </c>
      <c r="P206">
        <v>43000000</v>
      </c>
      <c r="Q206">
        <v>0</v>
      </c>
      <c r="S206">
        <v>2</v>
      </c>
      <c r="T206">
        <v>2</v>
      </c>
      <c r="U206">
        <v>60</v>
      </c>
      <c r="V206">
        <v>0</v>
      </c>
      <c r="W206">
        <v>10</v>
      </c>
      <c r="X206">
        <v>2</v>
      </c>
      <c r="Z206">
        <v>2</v>
      </c>
      <c r="AA206">
        <v>2</v>
      </c>
      <c r="AB206">
        <v>1</v>
      </c>
      <c r="AC206">
        <v>5</v>
      </c>
      <c r="AD206">
        <v>0</v>
      </c>
      <c r="AE206">
        <v>3</v>
      </c>
      <c r="AF206">
        <v>0</v>
      </c>
      <c r="AG206">
        <v>0</v>
      </c>
      <c r="AH206">
        <v>14</v>
      </c>
      <c r="AI206" s="1">
        <v>2</v>
      </c>
    </row>
    <row r="207" spans="1:35">
      <c r="A207" s="9">
        <v>1614693</v>
      </c>
      <c r="B207">
        <v>4</v>
      </c>
      <c r="C207">
        <v>1</v>
      </c>
      <c r="D207">
        <v>15</v>
      </c>
      <c r="E207">
        <v>2511</v>
      </c>
      <c r="F207">
        <v>2009</v>
      </c>
      <c r="G207">
        <v>15</v>
      </c>
      <c r="H207">
        <v>18.668731999999999</v>
      </c>
      <c r="I207">
        <v>200000000</v>
      </c>
      <c r="J207">
        <v>200000000</v>
      </c>
      <c r="K207">
        <v>45</v>
      </c>
      <c r="L207">
        <v>10</v>
      </c>
      <c r="M207">
        <v>10</v>
      </c>
      <c r="N207">
        <v>35000000</v>
      </c>
      <c r="O207">
        <v>50000000</v>
      </c>
      <c r="P207">
        <v>1000000000</v>
      </c>
      <c r="Q207">
        <v>0</v>
      </c>
      <c r="S207">
        <v>2</v>
      </c>
      <c r="T207">
        <v>2</v>
      </c>
      <c r="U207">
        <v>80</v>
      </c>
      <c r="V207">
        <v>0</v>
      </c>
      <c r="W207">
        <v>0</v>
      </c>
      <c r="X207">
        <v>2</v>
      </c>
      <c r="Z207">
        <v>2</v>
      </c>
      <c r="AA207">
        <v>2</v>
      </c>
      <c r="AB207">
        <v>2</v>
      </c>
      <c r="AD207">
        <v>1</v>
      </c>
      <c r="AE207">
        <v>0</v>
      </c>
      <c r="AF207">
        <v>0</v>
      </c>
      <c r="AG207">
        <v>0</v>
      </c>
      <c r="AH207">
        <v>2</v>
      </c>
      <c r="AI207" s="1">
        <v>2</v>
      </c>
    </row>
    <row r="208" spans="1:35">
      <c r="A208" s="9">
        <v>1614698</v>
      </c>
      <c r="B208">
        <v>2</v>
      </c>
      <c r="C208">
        <v>2</v>
      </c>
      <c r="D208">
        <v>10</v>
      </c>
      <c r="E208">
        <v>2599</v>
      </c>
      <c r="F208">
        <v>1990</v>
      </c>
      <c r="G208">
        <v>30</v>
      </c>
      <c r="H208">
        <v>2.6198342000000001</v>
      </c>
      <c r="I208">
        <v>15000000</v>
      </c>
      <c r="J208">
        <v>-9</v>
      </c>
      <c r="K208">
        <v>7</v>
      </c>
      <c r="L208">
        <v>8</v>
      </c>
      <c r="M208">
        <v>7</v>
      </c>
      <c r="N208">
        <v>-9</v>
      </c>
      <c r="O208">
        <v>5000000</v>
      </c>
      <c r="P208">
        <v>3500000</v>
      </c>
      <c r="Q208">
        <v>0</v>
      </c>
      <c r="S208">
        <v>1</v>
      </c>
      <c r="T208">
        <v>2</v>
      </c>
      <c r="U208">
        <v>30</v>
      </c>
      <c r="V208">
        <v>48</v>
      </c>
      <c r="W208">
        <v>12</v>
      </c>
      <c r="X208">
        <v>1</v>
      </c>
      <c r="Y208">
        <v>900000</v>
      </c>
      <c r="Z208">
        <v>2</v>
      </c>
      <c r="AA208">
        <v>1</v>
      </c>
      <c r="AB208">
        <v>2</v>
      </c>
      <c r="AD208">
        <v>3</v>
      </c>
      <c r="AE208">
        <v>3</v>
      </c>
      <c r="AF208">
        <v>0</v>
      </c>
      <c r="AG208">
        <v>3</v>
      </c>
      <c r="AH208">
        <v>8</v>
      </c>
      <c r="AI208" s="1">
        <v>2</v>
      </c>
    </row>
    <row r="209" spans="1:35">
      <c r="A209" s="9">
        <v>1614703</v>
      </c>
      <c r="B209">
        <v>4</v>
      </c>
      <c r="C209">
        <v>1</v>
      </c>
      <c r="D209">
        <v>16</v>
      </c>
      <c r="E209">
        <v>3100</v>
      </c>
      <c r="F209">
        <v>2012</v>
      </c>
      <c r="G209">
        <v>13</v>
      </c>
      <c r="H209">
        <v>18.668731999999999</v>
      </c>
      <c r="I209">
        <v>55000000</v>
      </c>
      <c r="J209">
        <v>55000000</v>
      </c>
      <c r="K209">
        <v>86</v>
      </c>
      <c r="L209">
        <v>14</v>
      </c>
      <c r="M209">
        <v>14</v>
      </c>
      <c r="N209">
        <v>23000000</v>
      </c>
      <c r="O209">
        <v>12000000</v>
      </c>
      <c r="P209">
        <v>25000000000</v>
      </c>
      <c r="Q209">
        <v>0</v>
      </c>
      <c r="S209">
        <v>2</v>
      </c>
      <c r="T209">
        <v>2</v>
      </c>
      <c r="U209">
        <v>100</v>
      </c>
      <c r="V209">
        <v>0</v>
      </c>
      <c r="W209">
        <v>0</v>
      </c>
      <c r="X209">
        <v>2</v>
      </c>
      <c r="Z209">
        <v>2</v>
      </c>
      <c r="AA209">
        <v>2</v>
      </c>
      <c r="AB209">
        <v>2</v>
      </c>
      <c r="AD209">
        <v>1</v>
      </c>
      <c r="AE209">
        <v>1</v>
      </c>
      <c r="AF209">
        <v>0</v>
      </c>
      <c r="AG209">
        <v>0</v>
      </c>
      <c r="AH209">
        <v>13</v>
      </c>
      <c r="AI209" s="1">
        <v>2</v>
      </c>
    </row>
    <row r="210" spans="1:35">
      <c r="A210" s="9">
        <v>1614704</v>
      </c>
      <c r="B210">
        <v>2</v>
      </c>
      <c r="C210">
        <v>1</v>
      </c>
      <c r="D210">
        <v>7</v>
      </c>
      <c r="E210">
        <v>1079</v>
      </c>
      <c r="F210">
        <v>-9</v>
      </c>
      <c r="G210">
        <v>-9</v>
      </c>
      <c r="H210">
        <v>11.033947</v>
      </c>
      <c r="I210">
        <v>38000000</v>
      </c>
      <c r="J210">
        <v>-7</v>
      </c>
      <c r="K210">
        <v>1</v>
      </c>
      <c r="L210">
        <v>4</v>
      </c>
      <c r="M210">
        <v>-7</v>
      </c>
      <c r="N210">
        <v>20000000</v>
      </c>
      <c r="O210">
        <v>0</v>
      </c>
      <c r="P210">
        <v>-9</v>
      </c>
      <c r="Q210">
        <v>0</v>
      </c>
      <c r="S210">
        <v>2</v>
      </c>
      <c r="T210">
        <v>2</v>
      </c>
      <c r="U210">
        <v>100</v>
      </c>
      <c r="V210">
        <v>0</v>
      </c>
      <c r="W210">
        <v>0</v>
      </c>
      <c r="X210">
        <v>2</v>
      </c>
      <c r="Z210">
        <v>2</v>
      </c>
      <c r="AA210">
        <v>2</v>
      </c>
      <c r="AB210">
        <v>2</v>
      </c>
      <c r="AD210">
        <v>4</v>
      </c>
      <c r="AE210">
        <v>0</v>
      </c>
      <c r="AF210">
        <v>1</v>
      </c>
      <c r="AG210">
        <v>1</v>
      </c>
      <c r="AH210">
        <v>8</v>
      </c>
      <c r="AI210" s="1">
        <v>4</v>
      </c>
    </row>
    <row r="211" spans="1:35">
      <c r="A211" s="9">
        <v>1614707</v>
      </c>
      <c r="B211">
        <v>2</v>
      </c>
      <c r="C211">
        <v>2</v>
      </c>
      <c r="D211">
        <v>9</v>
      </c>
      <c r="E211">
        <v>3100</v>
      </c>
      <c r="F211">
        <v>2008</v>
      </c>
      <c r="G211">
        <v>19</v>
      </c>
      <c r="H211">
        <v>2.6198342000000001</v>
      </c>
      <c r="I211">
        <v>74500000</v>
      </c>
      <c r="J211">
        <v>40600000</v>
      </c>
      <c r="K211">
        <v>-9</v>
      </c>
      <c r="L211">
        <v>5</v>
      </c>
      <c r="M211">
        <v>2</v>
      </c>
      <c r="N211">
        <v>-9</v>
      </c>
      <c r="O211">
        <v>-9</v>
      </c>
      <c r="P211">
        <v>3000000</v>
      </c>
      <c r="Q211">
        <v>0</v>
      </c>
      <c r="S211">
        <v>2</v>
      </c>
      <c r="T211">
        <v>2</v>
      </c>
      <c r="U211">
        <v>70</v>
      </c>
      <c r="V211">
        <v>0</v>
      </c>
      <c r="W211">
        <v>0</v>
      </c>
      <c r="X211">
        <v>2</v>
      </c>
      <c r="Z211">
        <v>2</v>
      </c>
      <c r="AA211">
        <v>2</v>
      </c>
      <c r="AB211">
        <v>1</v>
      </c>
      <c r="AC211">
        <v>5</v>
      </c>
      <c r="AD211">
        <v>1</v>
      </c>
      <c r="AE211">
        <v>2</v>
      </c>
      <c r="AF211">
        <v>0</v>
      </c>
      <c r="AG211">
        <v>1</v>
      </c>
      <c r="AH211">
        <v>1</v>
      </c>
      <c r="AI211" s="1">
        <v>2</v>
      </c>
    </row>
    <row r="212" spans="1:35">
      <c r="A212" s="9">
        <v>1614712</v>
      </c>
      <c r="B212">
        <v>3</v>
      </c>
      <c r="C212">
        <v>2</v>
      </c>
      <c r="D212">
        <v>16</v>
      </c>
      <c r="E212">
        <v>1071</v>
      </c>
      <c r="F212">
        <v>2020</v>
      </c>
      <c r="G212">
        <v>5</v>
      </c>
      <c r="H212">
        <v>1.6103765000000001</v>
      </c>
      <c r="I212">
        <v>150000000</v>
      </c>
      <c r="J212">
        <v>120000000</v>
      </c>
      <c r="K212">
        <v>60</v>
      </c>
      <c r="L212">
        <v>16</v>
      </c>
      <c r="M212">
        <v>11</v>
      </c>
      <c r="N212">
        <v>50000000</v>
      </c>
      <c r="O212">
        <v>40000000</v>
      </c>
      <c r="P212">
        <v>3000000</v>
      </c>
      <c r="Q212">
        <v>0</v>
      </c>
      <c r="S212">
        <v>2</v>
      </c>
      <c r="T212">
        <v>1</v>
      </c>
      <c r="U212">
        <v>100</v>
      </c>
      <c r="V212">
        <v>0</v>
      </c>
      <c r="W212">
        <v>0</v>
      </c>
      <c r="X212">
        <v>1</v>
      </c>
      <c r="Y212">
        <v>7000000</v>
      </c>
      <c r="Z212">
        <v>2</v>
      </c>
      <c r="AA212">
        <v>2</v>
      </c>
      <c r="AB212">
        <v>1</v>
      </c>
      <c r="AC212">
        <v>10</v>
      </c>
      <c r="AD212">
        <v>1</v>
      </c>
      <c r="AE212">
        <v>1</v>
      </c>
      <c r="AF212">
        <v>0</v>
      </c>
      <c r="AG212">
        <v>2</v>
      </c>
      <c r="AH212">
        <v>12</v>
      </c>
      <c r="AI212" s="1">
        <v>4</v>
      </c>
    </row>
    <row r="213" spans="1:35">
      <c r="A213" s="9">
        <v>1614716</v>
      </c>
      <c r="B213">
        <v>1</v>
      </c>
      <c r="C213">
        <v>3</v>
      </c>
      <c r="D213">
        <v>200</v>
      </c>
      <c r="E213">
        <v>2392</v>
      </c>
      <c r="F213">
        <v>2000</v>
      </c>
      <c r="G213">
        <v>30</v>
      </c>
      <c r="H213">
        <v>1.574964</v>
      </c>
      <c r="I213">
        <v>7000000000</v>
      </c>
      <c r="J213">
        <v>2000000000</v>
      </c>
      <c r="K213">
        <v>60</v>
      </c>
      <c r="L213">
        <v>200</v>
      </c>
      <c r="M213">
        <v>100</v>
      </c>
      <c r="N213">
        <v>300000000</v>
      </c>
      <c r="O213">
        <v>2000000000</v>
      </c>
      <c r="P213">
        <v>20000000000</v>
      </c>
      <c r="Q213">
        <v>0</v>
      </c>
      <c r="R213">
        <v>1</v>
      </c>
      <c r="S213">
        <v>1</v>
      </c>
      <c r="T213">
        <v>1</v>
      </c>
      <c r="U213">
        <v>70</v>
      </c>
      <c r="V213">
        <v>0</v>
      </c>
      <c r="W213">
        <v>25</v>
      </c>
      <c r="X213">
        <v>2</v>
      </c>
      <c r="Z213">
        <v>2</v>
      </c>
      <c r="AA213">
        <v>2</v>
      </c>
      <c r="AB213">
        <v>1</v>
      </c>
      <c r="AC213">
        <v>5</v>
      </c>
      <c r="AD213">
        <v>0</v>
      </c>
      <c r="AE213">
        <v>0</v>
      </c>
      <c r="AF213">
        <v>0</v>
      </c>
      <c r="AG213">
        <v>1</v>
      </c>
      <c r="AH213">
        <v>4</v>
      </c>
      <c r="AI213" s="1">
        <v>4</v>
      </c>
    </row>
    <row r="214" spans="1:35">
      <c r="A214" s="9">
        <v>1614717</v>
      </c>
      <c r="B214">
        <v>2</v>
      </c>
      <c r="C214">
        <v>1</v>
      </c>
      <c r="D214">
        <v>8</v>
      </c>
      <c r="E214">
        <v>1071</v>
      </c>
      <c r="F214">
        <v>2023</v>
      </c>
      <c r="G214">
        <v>3</v>
      </c>
      <c r="H214">
        <v>11.033947</v>
      </c>
      <c r="I214">
        <v>24000000</v>
      </c>
      <c r="J214">
        <v>-7</v>
      </c>
      <c r="K214">
        <v>1</v>
      </c>
      <c r="L214">
        <v>6</v>
      </c>
      <c r="M214">
        <v>-7</v>
      </c>
      <c r="N214">
        <v>5760000</v>
      </c>
      <c r="O214">
        <v>5000000</v>
      </c>
      <c r="P214">
        <v>3000000</v>
      </c>
      <c r="Q214">
        <v>0</v>
      </c>
      <c r="S214">
        <v>2</v>
      </c>
      <c r="T214">
        <v>2</v>
      </c>
      <c r="U214">
        <v>80</v>
      </c>
      <c r="V214">
        <v>0</v>
      </c>
      <c r="W214">
        <v>20</v>
      </c>
      <c r="X214">
        <v>2</v>
      </c>
      <c r="Z214">
        <v>2</v>
      </c>
      <c r="AA214">
        <v>2</v>
      </c>
      <c r="AB214">
        <v>1</v>
      </c>
      <c r="AC214">
        <v>4</v>
      </c>
      <c r="AD214">
        <v>2</v>
      </c>
      <c r="AE214">
        <v>3</v>
      </c>
      <c r="AF214">
        <v>0</v>
      </c>
      <c r="AG214">
        <v>2</v>
      </c>
      <c r="AH214">
        <v>1</v>
      </c>
      <c r="AI214" s="1">
        <v>2</v>
      </c>
    </row>
    <row r="215" spans="1:35">
      <c r="A215" s="9">
        <v>1614718</v>
      </c>
      <c r="B215">
        <v>1</v>
      </c>
      <c r="C215">
        <v>2</v>
      </c>
      <c r="D215">
        <v>200</v>
      </c>
      <c r="E215">
        <v>2220</v>
      </c>
      <c r="F215">
        <v>2005</v>
      </c>
      <c r="G215">
        <v>23</v>
      </c>
      <c r="H215">
        <v>48.349552000000003</v>
      </c>
      <c r="I215">
        <v>5500000000</v>
      </c>
      <c r="J215">
        <v>4000000000</v>
      </c>
      <c r="K215">
        <v>80</v>
      </c>
      <c r="L215">
        <v>150</v>
      </c>
      <c r="M215">
        <v>120</v>
      </c>
      <c r="N215">
        <v>200000000</v>
      </c>
      <c r="O215">
        <v>1000000000</v>
      </c>
      <c r="P215">
        <v>3000000000</v>
      </c>
      <c r="Q215">
        <v>30</v>
      </c>
      <c r="R215">
        <v>1</v>
      </c>
      <c r="S215">
        <v>2</v>
      </c>
      <c r="T215">
        <v>2</v>
      </c>
      <c r="U215">
        <v>80</v>
      </c>
      <c r="V215">
        <v>0</v>
      </c>
      <c r="W215">
        <v>0</v>
      </c>
      <c r="X215">
        <v>2</v>
      </c>
      <c r="Z215">
        <v>1</v>
      </c>
      <c r="AA215">
        <v>2</v>
      </c>
      <c r="AB215">
        <v>1</v>
      </c>
      <c r="AC215">
        <v>4</v>
      </c>
      <c r="AD215">
        <v>2</v>
      </c>
      <c r="AE215">
        <v>0</v>
      </c>
      <c r="AF215">
        <v>1</v>
      </c>
      <c r="AG215">
        <v>2</v>
      </c>
      <c r="AH215">
        <v>14</v>
      </c>
      <c r="AI215" s="1">
        <v>1</v>
      </c>
    </row>
    <row r="216" spans="1:35">
      <c r="A216" s="9">
        <v>1614720</v>
      </c>
      <c r="B216">
        <v>3</v>
      </c>
      <c r="C216">
        <v>2</v>
      </c>
      <c r="D216">
        <v>40</v>
      </c>
      <c r="E216">
        <v>1061</v>
      </c>
      <c r="F216">
        <v>2008</v>
      </c>
      <c r="G216">
        <v>17</v>
      </c>
      <c r="H216">
        <v>1.6103765000000001</v>
      </c>
      <c r="I216">
        <v>100000000</v>
      </c>
      <c r="J216">
        <v>84000000</v>
      </c>
      <c r="K216">
        <v>90</v>
      </c>
      <c r="L216">
        <v>20</v>
      </c>
      <c r="M216">
        <v>10</v>
      </c>
      <c r="N216">
        <v>18000000</v>
      </c>
      <c r="O216">
        <v>30000000</v>
      </c>
      <c r="P216">
        <v>150000000</v>
      </c>
      <c r="Q216">
        <v>0</v>
      </c>
      <c r="R216">
        <v>1</v>
      </c>
      <c r="S216">
        <v>2</v>
      </c>
      <c r="T216">
        <v>2</v>
      </c>
      <c r="U216">
        <v>70</v>
      </c>
      <c r="V216">
        <v>0</v>
      </c>
      <c r="W216">
        <v>0</v>
      </c>
      <c r="X216">
        <v>2</v>
      </c>
      <c r="Z216">
        <v>2</v>
      </c>
      <c r="AA216">
        <v>2</v>
      </c>
      <c r="AB216">
        <v>1</v>
      </c>
      <c r="AC216">
        <v>3</v>
      </c>
      <c r="AD216">
        <v>3</v>
      </c>
      <c r="AE216">
        <v>2</v>
      </c>
      <c r="AF216">
        <v>0</v>
      </c>
      <c r="AG216">
        <v>4</v>
      </c>
      <c r="AH216">
        <v>12</v>
      </c>
      <c r="AI216" s="1">
        <v>1</v>
      </c>
    </row>
    <row r="217" spans="1:35">
      <c r="A217" s="9">
        <v>1614721</v>
      </c>
      <c r="B217">
        <v>2</v>
      </c>
      <c r="C217">
        <v>2</v>
      </c>
      <c r="D217">
        <v>20</v>
      </c>
      <c r="E217">
        <v>1101</v>
      </c>
      <c r="F217">
        <v>2013</v>
      </c>
      <c r="G217">
        <v>-9</v>
      </c>
      <c r="H217">
        <v>1.6504706</v>
      </c>
      <c r="I217">
        <v>300000000</v>
      </c>
      <c r="J217">
        <v>280000000</v>
      </c>
      <c r="K217">
        <v>1</v>
      </c>
      <c r="L217">
        <v>20</v>
      </c>
      <c r="M217">
        <v>-9</v>
      </c>
      <c r="N217">
        <v>96000000</v>
      </c>
      <c r="O217">
        <v>190000000</v>
      </c>
      <c r="P217">
        <v>-9</v>
      </c>
      <c r="Q217">
        <v>0</v>
      </c>
      <c r="R217">
        <v>1</v>
      </c>
      <c r="S217">
        <v>2</v>
      </c>
      <c r="T217">
        <v>1</v>
      </c>
      <c r="U217">
        <v>100</v>
      </c>
      <c r="V217">
        <v>0</v>
      </c>
      <c r="W217">
        <v>0</v>
      </c>
      <c r="X217">
        <v>2</v>
      </c>
      <c r="Z217">
        <v>2</v>
      </c>
      <c r="AA217">
        <v>2</v>
      </c>
      <c r="AB217">
        <v>1</v>
      </c>
      <c r="AC217">
        <v>0</v>
      </c>
      <c r="AD217">
        <v>0</v>
      </c>
      <c r="AE217">
        <v>0</v>
      </c>
      <c r="AF217">
        <v>3</v>
      </c>
      <c r="AG217">
        <v>1</v>
      </c>
      <c r="AH217">
        <v>13</v>
      </c>
      <c r="AI217" s="1">
        <v>2</v>
      </c>
    </row>
    <row r="218" spans="1:35">
      <c r="A218" s="10">
        <v>1614723</v>
      </c>
      <c r="B218" s="11">
        <v>4</v>
      </c>
      <c r="C218" s="11">
        <v>1</v>
      </c>
      <c r="D218" s="11">
        <v>5</v>
      </c>
      <c r="E218" s="11">
        <v>1061</v>
      </c>
      <c r="F218" s="11">
        <v>2020</v>
      </c>
      <c r="G218" s="11">
        <v>4</v>
      </c>
      <c r="H218" s="11">
        <v>1.6450883999999999</v>
      </c>
      <c r="I218" s="11">
        <v>24000000</v>
      </c>
      <c r="J218" s="11">
        <v>20000000</v>
      </c>
      <c r="K218" s="11">
        <v>100</v>
      </c>
      <c r="L218" s="11">
        <v>5</v>
      </c>
      <c r="M218" s="11">
        <v>5</v>
      </c>
      <c r="N218" s="11">
        <v>9000000</v>
      </c>
      <c r="O218" s="11">
        <v>2000000</v>
      </c>
      <c r="P218" s="11">
        <v>4000000</v>
      </c>
      <c r="Q218" s="11">
        <v>0</v>
      </c>
      <c r="R218" s="11"/>
      <c r="S218" s="11">
        <v>2</v>
      </c>
      <c r="T218" s="11">
        <v>2</v>
      </c>
      <c r="U218" s="11">
        <v>95</v>
      </c>
      <c r="V218" s="11">
        <v>0</v>
      </c>
      <c r="W218" s="11">
        <v>5</v>
      </c>
      <c r="X218" s="11">
        <v>2</v>
      </c>
      <c r="Y218" s="11"/>
      <c r="Z218" s="11">
        <v>2</v>
      </c>
      <c r="AA218" s="11">
        <v>2</v>
      </c>
      <c r="AB218" s="11">
        <v>1</v>
      </c>
      <c r="AC218" s="11">
        <v>5</v>
      </c>
      <c r="AD218" s="11">
        <v>1</v>
      </c>
      <c r="AE218" s="11">
        <v>1</v>
      </c>
      <c r="AF218" s="11">
        <v>1</v>
      </c>
      <c r="AG218" s="11">
        <v>0</v>
      </c>
      <c r="AH218" s="11">
        <v>14</v>
      </c>
      <c r="AI218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18"/>
  <sheetViews>
    <sheetView topLeftCell="A161" workbookViewId="0">
      <selection activeCell="AT206" sqref="AT206"/>
    </sheetView>
  </sheetViews>
  <sheetFormatPr defaultRowHeight="13.8"/>
  <cols>
    <col min="1" max="6" width="16" customWidth="1"/>
    <col min="7" max="7" width="28" customWidth="1"/>
    <col min="8" max="10" width="16" customWidth="1"/>
    <col min="11" max="12" width="20" customWidth="1"/>
    <col min="13" max="15" width="16" customWidth="1"/>
    <col min="16" max="18" width="20" customWidth="1"/>
    <col min="19" max="19" width="16" customWidth="1"/>
    <col min="20" max="22" width="28" customWidth="1"/>
    <col min="23" max="25" width="16" customWidth="1"/>
    <col min="26" max="26" width="28" customWidth="1"/>
    <col min="27" max="27" width="20" customWidth="1"/>
    <col min="28" max="30" width="28" customWidth="1"/>
    <col min="31" max="31" width="16" customWidth="1"/>
    <col min="32" max="37" width="28" customWidth="1"/>
    <col min="38" max="38" width="16" customWidth="1"/>
    <col min="39" max="39" width="20" customWidth="1"/>
    <col min="40" max="40" width="17.5" bestFit="1" customWidth="1"/>
    <col min="41" max="41" width="16" customWidth="1"/>
    <col min="42" max="44" width="19" customWidth="1"/>
    <col min="45" max="45" width="20" customWidth="1"/>
    <col min="46" max="47" width="19" customWidth="1"/>
    <col min="48" max="48" width="20" customWidth="1"/>
    <col min="49" max="49" width="19" customWidth="1"/>
    <col min="50" max="50" width="15" bestFit="1" customWidth="1"/>
    <col min="51" max="51" width="10.3984375" bestFit="1" customWidth="1"/>
    <col min="52" max="52" width="11.796875" customWidth="1"/>
  </cols>
  <sheetData>
    <row r="1" spans="1:52" ht="33.6" customHeight="1">
      <c r="A1" s="5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8" t="s">
        <v>48</v>
      </c>
      <c r="AX1" s="43" t="s">
        <v>309</v>
      </c>
      <c r="AY1" s="8" t="s">
        <v>310</v>
      </c>
      <c r="AZ1" s="8" t="s">
        <v>343</v>
      </c>
    </row>
    <row r="2" spans="1:52">
      <c r="A2" s="12">
        <v>1614120</v>
      </c>
      <c r="B2" s="3" t="s">
        <v>49</v>
      </c>
      <c r="C2" s="3" t="s">
        <v>50</v>
      </c>
      <c r="D2" s="13">
        <v>1000</v>
      </c>
      <c r="E2" s="13">
        <v>1073</v>
      </c>
      <c r="F2" s="13">
        <v>10</v>
      </c>
      <c r="G2" s="3" t="s">
        <v>51</v>
      </c>
      <c r="H2" s="13">
        <v>1986</v>
      </c>
      <c r="I2" s="13">
        <v>24</v>
      </c>
      <c r="J2" s="14">
        <v>1</v>
      </c>
      <c r="K2" s="15">
        <v>1200000000</v>
      </c>
      <c r="L2" s="15">
        <v>900000000</v>
      </c>
      <c r="M2" s="16">
        <v>20</v>
      </c>
      <c r="N2" s="13">
        <v>250</v>
      </c>
      <c r="O2" s="13">
        <v>180</v>
      </c>
      <c r="P2" s="15">
        <v>500000000</v>
      </c>
      <c r="Q2" s="15">
        <v>200000000</v>
      </c>
      <c r="R2" s="15">
        <v>350000000</v>
      </c>
      <c r="S2" s="16">
        <v>25</v>
      </c>
      <c r="T2" s="3" t="s">
        <v>52</v>
      </c>
      <c r="U2" s="3" t="s">
        <v>53</v>
      </c>
      <c r="V2" s="3" t="s">
        <v>53</v>
      </c>
      <c r="W2" s="16">
        <v>85</v>
      </c>
      <c r="X2" s="16">
        <v>0</v>
      </c>
      <c r="Y2" s="16">
        <v>0</v>
      </c>
      <c r="Z2" s="3" t="s">
        <v>53</v>
      </c>
      <c r="AA2" s="15"/>
      <c r="AB2" s="3" t="s">
        <v>53</v>
      </c>
      <c r="AC2" s="3" t="s">
        <v>53</v>
      </c>
      <c r="AD2" s="3" t="s">
        <v>52</v>
      </c>
      <c r="AE2" s="16">
        <v>6</v>
      </c>
      <c r="AF2" s="3" t="s">
        <v>54</v>
      </c>
      <c r="AG2" s="3" t="s">
        <v>55</v>
      </c>
      <c r="AH2" s="3" t="s">
        <v>54</v>
      </c>
      <c r="AI2" s="3" t="s">
        <v>54</v>
      </c>
      <c r="AJ2" s="3" t="s">
        <v>56</v>
      </c>
      <c r="AK2" s="3" t="s">
        <v>57</v>
      </c>
      <c r="AL2" s="13">
        <f t="shared" ref="AL2:AL65" si="0">IF(H2="","",2024-H2)</f>
        <v>38</v>
      </c>
      <c r="AM2" s="15">
        <f t="shared" ref="AM2:AM65" si="1">IFERROR(IF(Z2="No",0,IF(Z2="Yes",AA2,"")),"")</f>
        <v>0</v>
      </c>
      <c r="AN2" s="3">
        <f t="shared" ref="AN2:AN65" si="2">IFERROR(IF(AD2="No",0,IF(AD2="Yes",AE2,"")),"")</f>
        <v>6</v>
      </c>
      <c r="AO2" s="3" t="str">
        <f t="shared" ref="AO2:AO65" si="3">IF(S2&gt;0,"Yes","No")</f>
        <v>Yes</v>
      </c>
      <c r="AP2" s="17">
        <f t="shared" ref="AP2:AP65" si="4">IF(OR(K2="",L2="",L2&lt;=0),"",K2/L2-1)</f>
        <v>0.33333333333333326</v>
      </c>
      <c r="AQ2" s="17">
        <f t="shared" ref="AQ2:AQ65" si="5">IF(OR(K2="",L2="",L2&lt;=0),"",(K2/L2)^(1/2)-1)</f>
        <v>0.15470053837925146</v>
      </c>
      <c r="AR2" s="17">
        <f t="shared" ref="AR2:AR65" si="6">IF(OR(N2="",O2="",O2&lt;=0),"",N2/O2-1)</f>
        <v>0.38888888888888884</v>
      </c>
      <c r="AS2" s="15">
        <f t="shared" ref="AS2:AS65" si="7">IF(OR(K2="",N2="",N2&lt;=0),"",K2/N2)</f>
        <v>4800000</v>
      </c>
      <c r="AT2" s="17">
        <f t="shared" ref="AT2:AT65" si="8">IF(OR(P2="",K2="",K2&lt;=0),"",P2/K2)</f>
        <v>0.41666666666666669</v>
      </c>
      <c r="AU2" s="17">
        <f t="shared" ref="AU2:AU65" si="9">IF(OR(Q2="",K2="",K2&lt;=0),"",Q2/K2)</f>
        <v>0.16666666666666666</v>
      </c>
      <c r="AV2" s="15">
        <f t="shared" ref="AV2:AV65" si="10">IF(OR(R2="",N2="",N2&lt;=0),"",R2/N2)</f>
        <v>1400000</v>
      </c>
      <c r="AW2" s="18">
        <f t="shared" ref="AW2:AW65" si="11">IFERROR(IF(Z2="No",0,IF(Z2="Yes",AM2/K2,"")),"")</f>
        <v>0</v>
      </c>
      <c r="AX2" s="27" t="str">
        <f>IF(OR(K2&lt;Outlier_Audit!$H$2,K2&gt;Outlier_Audit!$I$2),"Review","Normal")</f>
        <v>Normal</v>
      </c>
      <c r="AY2" t="str">
        <f t="shared" ref="AY2:AY65" si="12">IF(AL2="","Unknown",IF(AL2&lt;10,"&lt;10 years",IF(AL2&lt;20,"10-19 years",IF(AL2&lt;30,"20-29 years","30+ years"))))</f>
        <v>30+ years</v>
      </c>
      <c r="AZ2" t="str">
        <f>IF(AQ2="","Missing",IF(AQ2&gt;=EDA_Performance!$B$7,"High Growth",IF(AQ2&lt;=EDA_Performance!$B$5,"Low Growth","Middle")))</f>
        <v>Middle</v>
      </c>
    </row>
    <row r="3" spans="1:52">
      <c r="A3" s="12">
        <v>1614122</v>
      </c>
      <c r="B3" s="3" t="s">
        <v>49</v>
      </c>
      <c r="C3" s="3" t="s">
        <v>58</v>
      </c>
      <c r="D3" s="13">
        <v>10</v>
      </c>
      <c r="E3" s="13">
        <v>1410</v>
      </c>
      <c r="F3" s="13">
        <v>14</v>
      </c>
      <c r="G3" s="3" t="s">
        <v>59</v>
      </c>
      <c r="H3" s="13">
        <v>1970</v>
      </c>
      <c r="I3" s="13">
        <v>30</v>
      </c>
      <c r="J3" s="14">
        <v>55.699169158935547</v>
      </c>
      <c r="K3" s="15">
        <v>45000000</v>
      </c>
      <c r="L3" s="15">
        <v>40000000</v>
      </c>
      <c r="M3" s="16">
        <v>70</v>
      </c>
      <c r="N3" s="13">
        <v>6</v>
      </c>
      <c r="O3" s="13">
        <v>5</v>
      </c>
      <c r="P3" s="15">
        <v>7200000</v>
      </c>
      <c r="Q3" s="15">
        <v>6000000</v>
      </c>
      <c r="R3" s="15">
        <v>30000000</v>
      </c>
      <c r="S3" s="16">
        <v>0</v>
      </c>
      <c r="T3" s="3" t="s">
        <v>60</v>
      </c>
      <c r="U3" s="3" t="s">
        <v>53</v>
      </c>
      <c r="V3" s="3" t="s">
        <v>53</v>
      </c>
      <c r="W3" s="16">
        <v>100</v>
      </c>
      <c r="X3" s="16">
        <v>0</v>
      </c>
      <c r="Y3" s="16">
        <v>0</v>
      </c>
      <c r="Z3" s="3" t="s">
        <v>53</v>
      </c>
      <c r="AA3" s="15"/>
      <c r="AB3" s="3" t="s">
        <v>53</v>
      </c>
      <c r="AC3" s="3" t="s">
        <v>53</v>
      </c>
      <c r="AD3" s="3" t="s">
        <v>52</v>
      </c>
      <c r="AE3" s="16">
        <v>2</v>
      </c>
      <c r="AF3" s="3" t="s">
        <v>61</v>
      </c>
      <c r="AG3" s="3" t="s">
        <v>54</v>
      </c>
      <c r="AH3" s="3" t="s">
        <v>62</v>
      </c>
      <c r="AI3" s="3" t="s">
        <v>62</v>
      </c>
      <c r="AJ3" s="3" t="s">
        <v>63</v>
      </c>
      <c r="AK3" s="3" t="s">
        <v>64</v>
      </c>
      <c r="AL3" s="13">
        <f t="shared" si="0"/>
        <v>54</v>
      </c>
      <c r="AM3" s="15">
        <f t="shared" si="1"/>
        <v>0</v>
      </c>
      <c r="AN3" s="3">
        <f t="shared" si="2"/>
        <v>2</v>
      </c>
      <c r="AO3" s="3" t="str">
        <f t="shared" si="3"/>
        <v>No</v>
      </c>
      <c r="AP3" s="17">
        <f t="shared" si="4"/>
        <v>0.125</v>
      </c>
      <c r="AQ3" s="17">
        <f t="shared" si="5"/>
        <v>6.0660171779821193E-2</v>
      </c>
      <c r="AR3" s="17">
        <f t="shared" si="6"/>
        <v>0.19999999999999996</v>
      </c>
      <c r="AS3" s="15">
        <f t="shared" si="7"/>
        <v>7500000</v>
      </c>
      <c r="AT3" s="17">
        <f t="shared" si="8"/>
        <v>0.16</v>
      </c>
      <c r="AU3" s="17">
        <f t="shared" si="9"/>
        <v>0.13333333333333333</v>
      </c>
      <c r="AV3" s="15">
        <f t="shared" si="10"/>
        <v>5000000</v>
      </c>
      <c r="AW3" s="18">
        <f t="shared" si="11"/>
        <v>0</v>
      </c>
      <c r="AX3" s="27" t="str">
        <f>IF(OR(K3&lt;Outlier_Audit!$H$2,K3&gt;Outlier_Audit!$I$2),"Review","Normal")</f>
        <v>Normal</v>
      </c>
      <c r="AY3" t="str">
        <f t="shared" si="12"/>
        <v>30+ years</v>
      </c>
      <c r="AZ3" t="str">
        <f>IF(AQ3="","Missing",IF(AQ3&gt;=EDA_Performance!$B$7,"High Growth",IF(AQ3&lt;=EDA_Performance!$B$5,"Low Growth","Middle")))</f>
        <v>Middle</v>
      </c>
    </row>
    <row r="4" spans="1:52">
      <c r="A4" s="12">
        <v>1614124</v>
      </c>
      <c r="B4" s="3" t="s">
        <v>65</v>
      </c>
      <c r="C4" s="3" t="s">
        <v>66</v>
      </c>
      <c r="D4" s="13">
        <v>100</v>
      </c>
      <c r="E4" s="13">
        <v>1073</v>
      </c>
      <c r="F4" s="13">
        <v>10</v>
      </c>
      <c r="G4" s="3" t="s">
        <v>51</v>
      </c>
      <c r="H4" s="13">
        <v>2007</v>
      </c>
      <c r="I4" s="13">
        <v>20</v>
      </c>
      <c r="J4" s="14">
        <v>24.842424392700195</v>
      </c>
      <c r="K4" s="15">
        <v>3000000000</v>
      </c>
      <c r="L4" s="15">
        <v>2000000000</v>
      </c>
      <c r="M4" s="16">
        <v>70</v>
      </c>
      <c r="N4" s="13">
        <v>50</v>
      </c>
      <c r="O4" s="13">
        <v>50</v>
      </c>
      <c r="P4" s="15">
        <v>700000000</v>
      </c>
      <c r="Q4" s="15">
        <v>400000000</v>
      </c>
      <c r="R4" s="15">
        <v>5000000000</v>
      </c>
      <c r="S4" s="16">
        <v>0</v>
      </c>
      <c r="T4" s="3" t="s">
        <v>52</v>
      </c>
      <c r="U4" s="3" t="s">
        <v>53</v>
      </c>
      <c r="V4" s="3" t="s">
        <v>53</v>
      </c>
      <c r="W4" s="16">
        <v>80</v>
      </c>
      <c r="X4" s="16">
        <v>0</v>
      </c>
      <c r="Y4" s="16">
        <v>0</v>
      </c>
      <c r="Z4" s="3" t="s">
        <v>53</v>
      </c>
      <c r="AA4" s="15"/>
      <c r="AB4" s="3" t="s">
        <v>53</v>
      </c>
      <c r="AC4" s="3" t="s">
        <v>53</v>
      </c>
      <c r="AD4" s="3" t="s">
        <v>53</v>
      </c>
      <c r="AE4" s="16"/>
      <c r="AF4" s="3" t="s">
        <v>54</v>
      </c>
      <c r="AG4" s="3" t="s">
        <v>67</v>
      </c>
      <c r="AH4" s="3" t="s">
        <v>67</v>
      </c>
      <c r="AI4" s="3" t="s">
        <v>54</v>
      </c>
      <c r="AJ4" s="3" t="s">
        <v>68</v>
      </c>
      <c r="AK4" s="3" t="s">
        <v>64</v>
      </c>
      <c r="AL4" s="13">
        <f t="shared" si="0"/>
        <v>17</v>
      </c>
      <c r="AM4" s="15">
        <f t="shared" si="1"/>
        <v>0</v>
      </c>
      <c r="AN4" s="3">
        <f t="shared" si="2"/>
        <v>0</v>
      </c>
      <c r="AO4" s="3" t="str">
        <f t="shared" si="3"/>
        <v>No</v>
      </c>
      <c r="AP4" s="17">
        <f t="shared" si="4"/>
        <v>0.5</v>
      </c>
      <c r="AQ4" s="17">
        <f t="shared" si="5"/>
        <v>0.22474487139158894</v>
      </c>
      <c r="AR4" s="17">
        <f t="shared" si="6"/>
        <v>0</v>
      </c>
      <c r="AS4" s="15">
        <f t="shared" si="7"/>
        <v>60000000</v>
      </c>
      <c r="AT4" s="17">
        <f t="shared" si="8"/>
        <v>0.23333333333333334</v>
      </c>
      <c r="AU4" s="17">
        <f t="shared" si="9"/>
        <v>0.13333333333333333</v>
      </c>
      <c r="AV4" s="15">
        <f t="shared" si="10"/>
        <v>100000000</v>
      </c>
      <c r="AW4" s="18">
        <f t="shared" si="11"/>
        <v>0</v>
      </c>
      <c r="AX4" s="27" t="str">
        <f>IF(OR(K4&lt;Outlier_Audit!$H$2,K4&gt;Outlier_Audit!$I$2),"Review","Normal")</f>
        <v>Normal</v>
      </c>
      <c r="AY4" t="str">
        <f t="shared" si="12"/>
        <v>10-19 years</v>
      </c>
      <c r="AZ4" t="str">
        <f>IF(AQ4="","Missing",IF(AQ4&gt;=EDA_Performance!$B$7,"High Growth",IF(AQ4&lt;=EDA_Performance!$B$5,"Low Growth","Middle")))</f>
        <v>Middle</v>
      </c>
    </row>
    <row r="5" spans="1:52">
      <c r="A5" s="12">
        <v>1614125</v>
      </c>
      <c r="B5" s="3" t="s">
        <v>65</v>
      </c>
      <c r="C5" s="3" t="s">
        <v>50</v>
      </c>
      <c r="D5" s="13">
        <v>110</v>
      </c>
      <c r="E5" s="13">
        <v>2100</v>
      </c>
      <c r="F5" s="13">
        <v>21</v>
      </c>
      <c r="G5" s="3" t="s">
        <v>69</v>
      </c>
      <c r="H5" s="13">
        <v>1981</v>
      </c>
      <c r="I5" s="13">
        <v>44</v>
      </c>
      <c r="J5" s="14">
        <v>1</v>
      </c>
      <c r="K5" s="15">
        <v>13000000000</v>
      </c>
      <c r="L5" s="15">
        <v>13000000000</v>
      </c>
      <c r="M5" s="16">
        <v>90</v>
      </c>
      <c r="N5" s="13">
        <v>57</v>
      </c>
      <c r="O5" s="13">
        <v>44</v>
      </c>
      <c r="P5" s="15">
        <v>1500000000</v>
      </c>
      <c r="Q5" s="15">
        <v>6000000000</v>
      </c>
      <c r="R5" s="15">
        <v>12000000000</v>
      </c>
      <c r="S5" s="16">
        <v>1</v>
      </c>
      <c r="T5" s="3" t="s">
        <v>52</v>
      </c>
      <c r="U5" s="3" t="s">
        <v>53</v>
      </c>
      <c r="V5" s="3" t="s">
        <v>53</v>
      </c>
      <c r="W5" s="16">
        <v>100</v>
      </c>
      <c r="X5" s="16">
        <v>0</v>
      </c>
      <c r="Y5" s="16">
        <v>0</v>
      </c>
      <c r="Z5" s="3" t="s">
        <v>52</v>
      </c>
      <c r="AA5" s="15">
        <v>600000000</v>
      </c>
      <c r="AB5" s="3" t="s">
        <v>52</v>
      </c>
      <c r="AC5" s="3" t="s">
        <v>53</v>
      </c>
      <c r="AD5" s="3" t="s">
        <v>52</v>
      </c>
      <c r="AE5" s="16">
        <v>10</v>
      </c>
      <c r="AF5" s="3" t="s">
        <v>55</v>
      </c>
      <c r="AG5" s="3" t="s">
        <v>67</v>
      </c>
      <c r="AH5" s="3" t="s">
        <v>55</v>
      </c>
      <c r="AI5" s="3" t="s">
        <v>55</v>
      </c>
      <c r="AJ5" s="3" t="s">
        <v>70</v>
      </c>
      <c r="AK5" s="3" t="s">
        <v>64</v>
      </c>
      <c r="AL5" s="13">
        <f t="shared" si="0"/>
        <v>43</v>
      </c>
      <c r="AM5" s="15">
        <f t="shared" si="1"/>
        <v>600000000</v>
      </c>
      <c r="AN5" s="3">
        <f t="shared" si="2"/>
        <v>10</v>
      </c>
      <c r="AO5" s="3" t="str">
        <f t="shared" si="3"/>
        <v>Yes</v>
      </c>
      <c r="AP5" s="17">
        <f t="shared" si="4"/>
        <v>0</v>
      </c>
      <c r="AQ5" s="17">
        <f t="shared" si="5"/>
        <v>0</v>
      </c>
      <c r="AR5" s="17">
        <f t="shared" si="6"/>
        <v>0.29545454545454541</v>
      </c>
      <c r="AS5" s="15">
        <f t="shared" si="7"/>
        <v>228070175.43859649</v>
      </c>
      <c r="AT5" s="17">
        <f t="shared" si="8"/>
        <v>0.11538461538461539</v>
      </c>
      <c r="AU5" s="17">
        <f t="shared" si="9"/>
        <v>0.46153846153846156</v>
      </c>
      <c r="AV5" s="15">
        <f t="shared" si="10"/>
        <v>210526315.78947368</v>
      </c>
      <c r="AW5" s="18">
        <f t="shared" si="11"/>
        <v>4.6153846153846156E-2</v>
      </c>
      <c r="AX5" s="27" t="str">
        <f>IF(OR(K5&lt;Outlier_Audit!$H$2,K5&gt;Outlier_Audit!$I$2),"Review","Normal")</f>
        <v>Review</v>
      </c>
      <c r="AY5" t="str">
        <f t="shared" si="12"/>
        <v>30+ years</v>
      </c>
      <c r="AZ5" t="str">
        <f>IF(AQ5="","Missing",IF(AQ5&gt;=EDA_Performance!$B$7,"High Growth",IF(AQ5&lt;=EDA_Performance!$B$5,"Low Growth","Middle")))</f>
        <v>Low Growth</v>
      </c>
    </row>
    <row r="6" spans="1:52">
      <c r="A6" s="12">
        <v>1614130</v>
      </c>
      <c r="B6" s="3" t="s">
        <v>65</v>
      </c>
      <c r="C6" s="3" t="s">
        <v>58</v>
      </c>
      <c r="D6" s="13">
        <v>7</v>
      </c>
      <c r="E6" s="13">
        <v>3100</v>
      </c>
      <c r="F6" s="13">
        <v>31</v>
      </c>
      <c r="G6" s="3" t="s">
        <v>71</v>
      </c>
      <c r="H6" s="13">
        <v>2020</v>
      </c>
      <c r="I6" s="13">
        <v>15</v>
      </c>
      <c r="J6" s="14">
        <v>143.61814880371094</v>
      </c>
      <c r="K6" s="15">
        <v>24000000</v>
      </c>
      <c r="L6" s="15">
        <v>17000000</v>
      </c>
      <c r="M6" s="16">
        <v>70</v>
      </c>
      <c r="N6" s="13">
        <v>5</v>
      </c>
      <c r="O6" s="13">
        <v>4</v>
      </c>
      <c r="P6" s="15">
        <v>4100000</v>
      </c>
      <c r="Q6" s="15">
        <v>12000000</v>
      </c>
      <c r="R6" s="15">
        <v>11000000</v>
      </c>
      <c r="S6" s="16">
        <v>0</v>
      </c>
      <c r="T6" s="3" t="s">
        <v>60</v>
      </c>
      <c r="U6" s="3" t="s">
        <v>52</v>
      </c>
      <c r="V6" s="3" t="s">
        <v>52</v>
      </c>
      <c r="W6" s="16">
        <v>60</v>
      </c>
      <c r="X6" s="16">
        <v>10</v>
      </c>
      <c r="Y6" s="16">
        <v>30</v>
      </c>
      <c r="Z6" s="3" t="s">
        <v>52</v>
      </c>
      <c r="AA6" s="15">
        <v>500000</v>
      </c>
      <c r="AB6" s="3" t="s">
        <v>52</v>
      </c>
      <c r="AC6" s="3" t="s">
        <v>53</v>
      </c>
      <c r="AD6" s="3" t="s">
        <v>52</v>
      </c>
      <c r="AE6" s="16">
        <v>6</v>
      </c>
      <c r="AF6" s="3" t="s">
        <v>67</v>
      </c>
      <c r="AG6" s="3" t="s">
        <v>62</v>
      </c>
      <c r="AH6" s="3" t="s">
        <v>62</v>
      </c>
      <c r="AI6" s="3" t="s">
        <v>67</v>
      </c>
      <c r="AJ6" s="3" t="s">
        <v>56</v>
      </c>
      <c r="AK6" s="3" t="s">
        <v>57</v>
      </c>
      <c r="AL6" s="13">
        <f t="shared" si="0"/>
        <v>4</v>
      </c>
      <c r="AM6" s="15">
        <f t="shared" si="1"/>
        <v>500000</v>
      </c>
      <c r="AN6" s="3">
        <f t="shared" si="2"/>
        <v>6</v>
      </c>
      <c r="AO6" s="3" t="str">
        <f t="shared" si="3"/>
        <v>No</v>
      </c>
      <c r="AP6" s="17">
        <f t="shared" si="4"/>
        <v>0.41176470588235303</v>
      </c>
      <c r="AQ6" s="17">
        <f t="shared" si="5"/>
        <v>0.18817705157200915</v>
      </c>
      <c r="AR6" s="17">
        <f t="shared" si="6"/>
        <v>0.25</v>
      </c>
      <c r="AS6" s="15">
        <f t="shared" si="7"/>
        <v>4800000</v>
      </c>
      <c r="AT6" s="17">
        <f t="shared" si="8"/>
        <v>0.17083333333333334</v>
      </c>
      <c r="AU6" s="17">
        <f t="shared" si="9"/>
        <v>0.5</v>
      </c>
      <c r="AV6" s="15">
        <f t="shared" si="10"/>
        <v>2200000</v>
      </c>
      <c r="AW6" s="18">
        <f t="shared" si="11"/>
        <v>2.0833333333333332E-2</v>
      </c>
      <c r="AX6" s="27" t="str">
        <f>IF(OR(K6&lt;Outlier_Audit!$H$2,K6&gt;Outlier_Audit!$I$2),"Review","Normal")</f>
        <v>Normal</v>
      </c>
      <c r="AY6" t="str">
        <f t="shared" si="12"/>
        <v>&lt;10 years</v>
      </c>
      <c r="AZ6" t="str">
        <f>IF(AQ6="","Missing",IF(AQ6&gt;=EDA_Performance!$B$7,"High Growth",IF(AQ6&lt;=EDA_Performance!$B$5,"Low Growth","Middle")))</f>
        <v>Middle</v>
      </c>
    </row>
    <row r="7" spans="1:52">
      <c r="A7" s="12">
        <v>1614131</v>
      </c>
      <c r="B7" s="3" t="s">
        <v>65</v>
      </c>
      <c r="C7" s="3" t="s">
        <v>58</v>
      </c>
      <c r="D7" s="13">
        <v>16</v>
      </c>
      <c r="E7" s="13">
        <v>1811</v>
      </c>
      <c r="F7" s="13">
        <v>18</v>
      </c>
      <c r="G7" s="3" t="s">
        <v>72</v>
      </c>
      <c r="H7" s="13">
        <v>1985</v>
      </c>
      <c r="I7" s="13">
        <v>30</v>
      </c>
      <c r="J7" s="14">
        <v>157.86735534667969</v>
      </c>
      <c r="K7" s="15">
        <v>100000000</v>
      </c>
      <c r="L7" s="15">
        <v>80000000</v>
      </c>
      <c r="M7" s="16">
        <v>20</v>
      </c>
      <c r="N7" s="13">
        <v>16</v>
      </c>
      <c r="O7" s="13">
        <v>16</v>
      </c>
      <c r="P7" s="15">
        <v>5000000</v>
      </c>
      <c r="Q7" s="15">
        <v>20000000</v>
      </c>
      <c r="R7" s="15">
        <v>350000000</v>
      </c>
      <c r="S7" s="16">
        <v>0</v>
      </c>
      <c r="T7" s="3" t="s">
        <v>60</v>
      </c>
      <c r="U7" s="3" t="s">
        <v>53</v>
      </c>
      <c r="V7" s="3" t="s">
        <v>53</v>
      </c>
      <c r="W7" s="16">
        <v>80</v>
      </c>
      <c r="X7" s="16">
        <v>0</v>
      </c>
      <c r="Y7" s="16">
        <v>0</v>
      </c>
      <c r="Z7" s="3" t="s">
        <v>53</v>
      </c>
      <c r="AA7" s="15"/>
      <c r="AB7" s="3" t="s">
        <v>53</v>
      </c>
      <c r="AC7" s="3" t="s">
        <v>53</v>
      </c>
      <c r="AD7" s="3" t="s">
        <v>53</v>
      </c>
      <c r="AE7" s="16"/>
      <c r="AF7" s="3" t="s">
        <v>67</v>
      </c>
      <c r="AG7" s="3" t="s">
        <v>62</v>
      </c>
      <c r="AH7" s="3" t="s">
        <v>62</v>
      </c>
      <c r="AI7" s="3" t="s">
        <v>62</v>
      </c>
      <c r="AJ7" s="3" t="s">
        <v>63</v>
      </c>
      <c r="AK7" s="3" t="s">
        <v>57</v>
      </c>
      <c r="AL7" s="13">
        <f t="shared" si="0"/>
        <v>39</v>
      </c>
      <c r="AM7" s="15">
        <f t="shared" si="1"/>
        <v>0</v>
      </c>
      <c r="AN7" s="3">
        <f t="shared" si="2"/>
        <v>0</v>
      </c>
      <c r="AO7" s="3" t="str">
        <f t="shared" si="3"/>
        <v>No</v>
      </c>
      <c r="AP7" s="17">
        <f t="shared" si="4"/>
        <v>0.25</v>
      </c>
      <c r="AQ7" s="17">
        <f t="shared" si="5"/>
        <v>0.1180339887498949</v>
      </c>
      <c r="AR7" s="17">
        <f t="shared" si="6"/>
        <v>0</v>
      </c>
      <c r="AS7" s="15">
        <f t="shared" si="7"/>
        <v>6250000</v>
      </c>
      <c r="AT7" s="17">
        <f t="shared" si="8"/>
        <v>0.05</v>
      </c>
      <c r="AU7" s="17">
        <f t="shared" si="9"/>
        <v>0.2</v>
      </c>
      <c r="AV7" s="15">
        <f t="shared" si="10"/>
        <v>21875000</v>
      </c>
      <c r="AW7" s="18">
        <f t="shared" si="11"/>
        <v>0</v>
      </c>
      <c r="AX7" s="27" t="str">
        <f>IF(OR(K7&lt;Outlier_Audit!$H$2,K7&gt;Outlier_Audit!$I$2),"Review","Normal")</f>
        <v>Normal</v>
      </c>
      <c r="AY7" t="str">
        <f t="shared" si="12"/>
        <v>30+ years</v>
      </c>
      <c r="AZ7" t="str">
        <f>IF(AQ7="","Missing",IF(AQ7&gt;=EDA_Performance!$B$7,"High Growth",IF(AQ7&lt;=EDA_Performance!$B$5,"Low Growth","Middle")))</f>
        <v>Middle</v>
      </c>
    </row>
    <row r="8" spans="1:52">
      <c r="A8" s="12">
        <v>1614136</v>
      </c>
      <c r="B8" s="3" t="s">
        <v>65</v>
      </c>
      <c r="C8" s="3" t="s">
        <v>50</v>
      </c>
      <c r="D8" s="13">
        <v>1850</v>
      </c>
      <c r="E8" s="13">
        <v>2410</v>
      </c>
      <c r="F8" s="13">
        <v>24</v>
      </c>
      <c r="G8" s="3" t="s">
        <v>73</v>
      </c>
      <c r="H8" s="13">
        <v>1983</v>
      </c>
      <c r="I8" s="13">
        <v>42</v>
      </c>
      <c r="J8" s="14">
        <v>1</v>
      </c>
      <c r="K8" s="15">
        <v>6000000000000</v>
      </c>
      <c r="L8" s="15">
        <v>4000000000000</v>
      </c>
      <c r="M8" s="16">
        <v>92</v>
      </c>
      <c r="N8" s="13">
        <v>2000</v>
      </c>
      <c r="O8" s="13">
        <v>1800</v>
      </c>
      <c r="P8" s="15">
        <v>1000000000000</v>
      </c>
      <c r="Q8" s="15">
        <v>3000000000000</v>
      </c>
      <c r="R8" s="15">
        <v>1000000000000</v>
      </c>
      <c r="S8" s="16">
        <v>35</v>
      </c>
      <c r="T8" s="3" t="s">
        <v>52</v>
      </c>
      <c r="U8" s="3" t="s">
        <v>52</v>
      </c>
      <c r="V8" s="3" t="s">
        <v>52</v>
      </c>
      <c r="W8" s="16">
        <v>35</v>
      </c>
      <c r="X8" s="16">
        <v>30</v>
      </c>
      <c r="Y8" s="16">
        <v>25</v>
      </c>
      <c r="Z8" s="3" t="s">
        <v>52</v>
      </c>
      <c r="AA8" s="15">
        <v>1000000000000</v>
      </c>
      <c r="AB8" s="3" t="s">
        <v>52</v>
      </c>
      <c r="AC8" s="3" t="s">
        <v>52</v>
      </c>
      <c r="AD8" s="3" t="s">
        <v>52</v>
      </c>
      <c r="AE8" s="16">
        <v>2</v>
      </c>
      <c r="AF8" s="3" t="s">
        <v>54</v>
      </c>
      <c r="AG8" s="3" t="s">
        <v>54</v>
      </c>
      <c r="AH8" s="3" t="s">
        <v>67</v>
      </c>
      <c r="AI8" s="3" t="s">
        <v>54</v>
      </c>
      <c r="AJ8" s="3" t="s">
        <v>56</v>
      </c>
      <c r="AK8" s="3" t="s">
        <v>64</v>
      </c>
      <c r="AL8" s="13">
        <f t="shared" si="0"/>
        <v>41</v>
      </c>
      <c r="AM8" s="15">
        <f t="shared" si="1"/>
        <v>1000000000000</v>
      </c>
      <c r="AN8" s="3">
        <f t="shared" si="2"/>
        <v>2</v>
      </c>
      <c r="AO8" s="3" t="str">
        <f t="shared" si="3"/>
        <v>Yes</v>
      </c>
      <c r="AP8" s="17">
        <f t="shared" si="4"/>
        <v>0.5</v>
      </c>
      <c r="AQ8" s="17">
        <f t="shared" si="5"/>
        <v>0.22474487139158894</v>
      </c>
      <c r="AR8" s="17">
        <f t="shared" si="6"/>
        <v>0.11111111111111116</v>
      </c>
      <c r="AS8" s="15">
        <f t="shared" si="7"/>
        <v>3000000000</v>
      </c>
      <c r="AT8" s="17">
        <f t="shared" si="8"/>
        <v>0.16666666666666666</v>
      </c>
      <c r="AU8" s="17">
        <f t="shared" si="9"/>
        <v>0.5</v>
      </c>
      <c r="AV8" s="15">
        <f t="shared" si="10"/>
        <v>500000000</v>
      </c>
      <c r="AW8" s="18">
        <f t="shared" si="11"/>
        <v>0.16666666666666666</v>
      </c>
      <c r="AX8" s="27" t="str">
        <f>IF(OR(K8&lt;Outlier_Audit!$H$2,K8&gt;Outlier_Audit!$I$2),"Review","Normal")</f>
        <v>Review</v>
      </c>
      <c r="AY8" t="str">
        <f t="shared" si="12"/>
        <v>30+ years</v>
      </c>
      <c r="AZ8" t="str">
        <f>IF(AQ8="","Missing",IF(AQ8&gt;=EDA_Performance!$B$7,"High Growth",IF(AQ8&lt;=EDA_Performance!$B$5,"Low Growth","Middle")))</f>
        <v>Middle</v>
      </c>
    </row>
    <row r="9" spans="1:52">
      <c r="A9" s="12">
        <v>1614138</v>
      </c>
      <c r="B9" s="3" t="s">
        <v>49</v>
      </c>
      <c r="C9" s="3" t="s">
        <v>58</v>
      </c>
      <c r="D9" s="13">
        <v>9</v>
      </c>
      <c r="E9" s="13">
        <v>1079</v>
      </c>
      <c r="F9" s="13">
        <v>10</v>
      </c>
      <c r="G9" s="3" t="s">
        <v>51</v>
      </c>
      <c r="H9" s="13">
        <v>1992</v>
      </c>
      <c r="I9" s="13">
        <v>30</v>
      </c>
      <c r="J9" s="14">
        <v>1.7886078357696533</v>
      </c>
      <c r="K9" s="15">
        <v>38000000</v>
      </c>
      <c r="L9" s="15">
        <v>6000000</v>
      </c>
      <c r="M9" s="16">
        <v>100</v>
      </c>
      <c r="N9" s="13">
        <v>9</v>
      </c>
      <c r="O9" s="13">
        <v>9</v>
      </c>
      <c r="P9" s="15">
        <v>10000000</v>
      </c>
      <c r="Q9" s="15"/>
      <c r="R9" s="15">
        <v>15000000</v>
      </c>
      <c r="S9" s="16">
        <v>0</v>
      </c>
      <c r="T9" s="3" t="s">
        <v>60</v>
      </c>
      <c r="U9" s="3" t="s">
        <v>53</v>
      </c>
      <c r="V9" s="3" t="s">
        <v>53</v>
      </c>
      <c r="W9" s="16">
        <v>40</v>
      </c>
      <c r="X9" s="16">
        <v>0</v>
      </c>
      <c r="Y9" s="16">
        <v>0</v>
      </c>
      <c r="Z9" s="3" t="s">
        <v>53</v>
      </c>
      <c r="AA9" s="15"/>
      <c r="AB9" s="3" t="s">
        <v>53</v>
      </c>
      <c r="AC9" s="3" t="s">
        <v>53</v>
      </c>
      <c r="AD9" s="3" t="s">
        <v>52</v>
      </c>
      <c r="AE9" s="16">
        <v>8</v>
      </c>
      <c r="AF9" s="3" t="s">
        <v>61</v>
      </c>
      <c r="AG9" s="3" t="s">
        <v>54</v>
      </c>
      <c r="AH9" s="3" t="s">
        <v>62</v>
      </c>
      <c r="AI9" s="3" t="s">
        <v>61</v>
      </c>
      <c r="AJ9" s="3" t="s">
        <v>70</v>
      </c>
      <c r="AK9" s="3" t="s">
        <v>57</v>
      </c>
      <c r="AL9" s="13">
        <f t="shared" si="0"/>
        <v>32</v>
      </c>
      <c r="AM9" s="15">
        <f t="shared" si="1"/>
        <v>0</v>
      </c>
      <c r="AN9" s="3">
        <f t="shared" si="2"/>
        <v>8</v>
      </c>
      <c r="AO9" s="3" t="str">
        <f t="shared" si="3"/>
        <v>No</v>
      </c>
      <c r="AP9" s="17">
        <f t="shared" si="4"/>
        <v>5.333333333333333</v>
      </c>
      <c r="AQ9" s="17">
        <f t="shared" si="5"/>
        <v>1.5166114784235831</v>
      </c>
      <c r="AR9" s="17">
        <f t="shared" si="6"/>
        <v>0</v>
      </c>
      <c r="AS9" s="15">
        <f t="shared" si="7"/>
        <v>4222222.222222222</v>
      </c>
      <c r="AT9" s="17">
        <f t="shared" si="8"/>
        <v>0.26315789473684209</v>
      </c>
      <c r="AU9" s="17" t="str">
        <f t="shared" si="9"/>
        <v/>
      </c>
      <c r="AV9" s="15">
        <f t="shared" si="10"/>
        <v>1666666.6666666667</v>
      </c>
      <c r="AW9" s="18">
        <f t="shared" si="11"/>
        <v>0</v>
      </c>
      <c r="AX9" s="27" t="str">
        <f>IF(OR(K9&lt;Outlier_Audit!$H$2,K9&gt;Outlier_Audit!$I$2),"Review","Normal")</f>
        <v>Normal</v>
      </c>
      <c r="AY9" t="str">
        <f t="shared" si="12"/>
        <v>30+ years</v>
      </c>
      <c r="AZ9" t="str">
        <f>IF(AQ9="","Missing",IF(AQ9&gt;=EDA_Performance!$B$7,"High Growth",IF(AQ9&lt;=EDA_Performance!$B$5,"Low Growth","Middle")))</f>
        <v>High Growth</v>
      </c>
    </row>
    <row r="10" spans="1:52">
      <c r="A10" s="12">
        <v>1614139</v>
      </c>
      <c r="B10" s="3" t="s">
        <v>74</v>
      </c>
      <c r="C10" s="3" t="s">
        <v>58</v>
      </c>
      <c r="D10" s="13">
        <v>5</v>
      </c>
      <c r="E10" s="13">
        <v>3100</v>
      </c>
      <c r="F10" s="13">
        <v>31</v>
      </c>
      <c r="G10" s="3" t="s">
        <v>71</v>
      </c>
      <c r="H10" s="13">
        <v>2002</v>
      </c>
      <c r="I10" s="13">
        <v>24</v>
      </c>
      <c r="J10" s="14">
        <v>68.626060485839844</v>
      </c>
      <c r="K10" s="15">
        <v>40000000</v>
      </c>
      <c r="L10" s="15">
        <v>22000000</v>
      </c>
      <c r="M10" s="16">
        <v>4</v>
      </c>
      <c r="N10" s="13">
        <v>5</v>
      </c>
      <c r="O10" s="13">
        <v>5</v>
      </c>
      <c r="P10" s="15">
        <v>12000000</v>
      </c>
      <c r="Q10" s="15">
        <v>16000000</v>
      </c>
      <c r="R10" s="15">
        <v>24200000</v>
      </c>
      <c r="S10" s="16">
        <v>0</v>
      </c>
      <c r="T10" s="3" t="s">
        <v>60</v>
      </c>
      <c r="U10" s="3" t="s">
        <v>53</v>
      </c>
      <c r="V10" s="3" t="s">
        <v>53</v>
      </c>
      <c r="W10" s="16">
        <v>20</v>
      </c>
      <c r="X10" s="16">
        <v>60</v>
      </c>
      <c r="Y10" s="16">
        <v>0</v>
      </c>
      <c r="Z10" s="3" t="s">
        <v>52</v>
      </c>
      <c r="AA10" s="15">
        <v>1000000</v>
      </c>
      <c r="AB10" s="3" t="s">
        <v>52</v>
      </c>
      <c r="AC10" s="3" t="s">
        <v>53</v>
      </c>
      <c r="AD10" s="3" t="s">
        <v>52</v>
      </c>
      <c r="AE10" s="16">
        <v>5</v>
      </c>
      <c r="AF10" s="3" t="s">
        <v>55</v>
      </c>
      <c r="AG10" s="3" t="s">
        <v>61</v>
      </c>
      <c r="AH10" s="3" t="s">
        <v>62</v>
      </c>
      <c r="AI10" s="3" t="s">
        <v>67</v>
      </c>
      <c r="AJ10" s="3" t="s">
        <v>70</v>
      </c>
      <c r="AK10" s="3" t="s">
        <v>75</v>
      </c>
      <c r="AL10" s="13">
        <f t="shared" si="0"/>
        <v>22</v>
      </c>
      <c r="AM10" s="15">
        <f t="shared" si="1"/>
        <v>1000000</v>
      </c>
      <c r="AN10" s="3">
        <f t="shared" si="2"/>
        <v>5</v>
      </c>
      <c r="AO10" s="3" t="str">
        <f t="shared" si="3"/>
        <v>No</v>
      </c>
      <c r="AP10" s="17">
        <f t="shared" si="4"/>
        <v>0.81818181818181812</v>
      </c>
      <c r="AQ10" s="17">
        <f t="shared" si="5"/>
        <v>0.34839972492648408</v>
      </c>
      <c r="AR10" s="17">
        <f t="shared" si="6"/>
        <v>0</v>
      </c>
      <c r="AS10" s="15">
        <f t="shared" si="7"/>
        <v>8000000</v>
      </c>
      <c r="AT10" s="17">
        <f t="shared" si="8"/>
        <v>0.3</v>
      </c>
      <c r="AU10" s="17">
        <f t="shared" si="9"/>
        <v>0.4</v>
      </c>
      <c r="AV10" s="15">
        <f t="shared" si="10"/>
        <v>4840000</v>
      </c>
      <c r="AW10" s="18">
        <f t="shared" si="11"/>
        <v>2.5000000000000001E-2</v>
      </c>
      <c r="AX10" s="27" t="str">
        <f>IF(OR(K10&lt;Outlier_Audit!$H$2,K10&gt;Outlier_Audit!$I$2),"Review","Normal")</f>
        <v>Normal</v>
      </c>
      <c r="AY10" t="str">
        <f t="shared" si="12"/>
        <v>20-29 years</v>
      </c>
      <c r="AZ10" t="str">
        <f>IF(AQ10="","Missing",IF(AQ10&gt;=EDA_Performance!$B$7,"High Growth",IF(AQ10&lt;=EDA_Performance!$B$5,"Low Growth","Middle")))</f>
        <v>High Growth</v>
      </c>
    </row>
    <row r="11" spans="1:52">
      <c r="A11" s="12">
        <v>1614143</v>
      </c>
      <c r="B11" s="3" t="s">
        <v>65</v>
      </c>
      <c r="C11" s="3" t="s">
        <v>58</v>
      </c>
      <c r="D11" s="13">
        <v>6</v>
      </c>
      <c r="E11" s="13">
        <v>2599</v>
      </c>
      <c r="F11" s="13">
        <v>25</v>
      </c>
      <c r="G11" s="3" t="s">
        <v>76</v>
      </c>
      <c r="H11" s="13">
        <v>1987</v>
      </c>
      <c r="I11" s="13">
        <v>35</v>
      </c>
      <c r="J11" s="14">
        <v>157.86735534667969</v>
      </c>
      <c r="K11" s="15">
        <v>10000000</v>
      </c>
      <c r="L11" s="15">
        <v>10000000</v>
      </c>
      <c r="M11" s="16">
        <v>100</v>
      </c>
      <c r="N11" s="13">
        <v>6</v>
      </c>
      <c r="O11" s="13">
        <v>6</v>
      </c>
      <c r="P11" s="15">
        <v>6000000</v>
      </c>
      <c r="Q11" s="15">
        <v>3000000</v>
      </c>
      <c r="R11" s="15">
        <v>7000000</v>
      </c>
      <c r="S11" s="16">
        <v>0</v>
      </c>
      <c r="T11" s="3" t="s">
        <v>60</v>
      </c>
      <c r="U11" s="3" t="s">
        <v>53</v>
      </c>
      <c r="V11" s="3" t="s">
        <v>53</v>
      </c>
      <c r="W11" s="16">
        <v>80</v>
      </c>
      <c r="X11" s="16">
        <v>10</v>
      </c>
      <c r="Y11" s="16">
        <v>0</v>
      </c>
      <c r="Z11" s="3" t="s">
        <v>53</v>
      </c>
      <c r="AA11" s="15"/>
      <c r="AB11" s="3" t="s">
        <v>53</v>
      </c>
      <c r="AC11" s="3" t="s">
        <v>52</v>
      </c>
      <c r="AD11" s="3" t="s">
        <v>52</v>
      </c>
      <c r="AE11" s="16">
        <v>2</v>
      </c>
      <c r="AF11" s="3" t="s">
        <v>67</v>
      </c>
      <c r="AG11" s="3" t="s">
        <v>55</v>
      </c>
      <c r="AH11" s="3" t="s">
        <v>62</v>
      </c>
      <c r="AI11" s="3" t="s">
        <v>67</v>
      </c>
      <c r="AJ11" s="3" t="s">
        <v>70</v>
      </c>
      <c r="AK11" s="3" t="s">
        <v>57</v>
      </c>
      <c r="AL11" s="13">
        <f t="shared" si="0"/>
        <v>37</v>
      </c>
      <c r="AM11" s="15">
        <f t="shared" si="1"/>
        <v>0</v>
      </c>
      <c r="AN11" s="3">
        <f t="shared" si="2"/>
        <v>2</v>
      </c>
      <c r="AO11" s="3" t="str">
        <f t="shared" si="3"/>
        <v>No</v>
      </c>
      <c r="AP11" s="17">
        <f t="shared" si="4"/>
        <v>0</v>
      </c>
      <c r="AQ11" s="17">
        <f t="shared" si="5"/>
        <v>0</v>
      </c>
      <c r="AR11" s="17">
        <f t="shared" si="6"/>
        <v>0</v>
      </c>
      <c r="AS11" s="15">
        <f t="shared" si="7"/>
        <v>1666666.6666666667</v>
      </c>
      <c r="AT11" s="17">
        <f t="shared" si="8"/>
        <v>0.6</v>
      </c>
      <c r="AU11" s="17">
        <f t="shared" si="9"/>
        <v>0.3</v>
      </c>
      <c r="AV11" s="15">
        <f t="shared" si="10"/>
        <v>1166666.6666666667</v>
      </c>
      <c r="AW11" s="18">
        <f t="shared" si="11"/>
        <v>0</v>
      </c>
      <c r="AX11" s="27" t="str">
        <f>IF(OR(K11&lt;Outlier_Audit!$H$2,K11&gt;Outlier_Audit!$I$2),"Review","Normal")</f>
        <v>Normal</v>
      </c>
      <c r="AY11" t="str">
        <f t="shared" si="12"/>
        <v>30+ years</v>
      </c>
      <c r="AZ11" t="str">
        <f>IF(AQ11="","Missing",IF(AQ11&gt;=EDA_Performance!$B$7,"High Growth",IF(AQ11&lt;=EDA_Performance!$B$5,"Low Growth","Middle")))</f>
        <v>Low Growth</v>
      </c>
    </row>
    <row r="12" spans="1:52">
      <c r="A12" s="12">
        <v>1614144</v>
      </c>
      <c r="B12" s="3" t="s">
        <v>65</v>
      </c>
      <c r="C12" s="3" t="s">
        <v>58</v>
      </c>
      <c r="D12" s="13">
        <v>50</v>
      </c>
      <c r="E12" s="13">
        <v>1812</v>
      </c>
      <c r="F12" s="13">
        <v>18</v>
      </c>
      <c r="G12" s="3" t="s">
        <v>72</v>
      </c>
      <c r="H12" s="13">
        <v>1995</v>
      </c>
      <c r="I12" s="13">
        <v>17</v>
      </c>
      <c r="J12" s="14">
        <v>585.955322265625</v>
      </c>
      <c r="K12" s="15">
        <v>300000000</v>
      </c>
      <c r="L12" s="15">
        <v>110000000</v>
      </c>
      <c r="M12" s="16">
        <v>95</v>
      </c>
      <c r="N12" s="13">
        <v>40</v>
      </c>
      <c r="O12" s="13">
        <v>20</v>
      </c>
      <c r="P12" s="15">
        <v>30000000</v>
      </c>
      <c r="Q12" s="15">
        <v>40000000</v>
      </c>
      <c r="R12" s="15">
        <v>1000000000</v>
      </c>
      <c r="S12" s="16">
        <v>10</v>
      </c>
      <c r="T12" s="3" t="s">
        <v>52</v>
      </c>
      <c r="U12" s="3" t="s">
        <v>53</v>
      </c>
      <c r="V12" s="3" t="s">
        <v>52</v>
      </c>
      <c r="W12" s="16">
        <v>80</v>
      </c>
      <c r="X12" s="16">
        <v>10</v>
      </c>
      <c r="Y12" s="16">
        <v>0</v>
      </c>
      <c r="Z12" s="3" t="s">
        <v>52</v>
      </c>
      <c r="AA12" s="15">
        <v>300000000</v>
      </c>
      <c r="AB12" s="3" t="s">
        <v>52</v>
      </c>
      <c r="AC12" s="3" t="s">
        <v>53</v>
      </c>
      <c r="AD12" s="3" t="s">
        <v>52</v>
      </c>
      <c r="AE12" s="16">
        <v>6</v>
      </c>
      <c r="AF12" s="3" t="s">
        <v>67</v>
      </c>
      <c r="AG12" s="3" t="s">
        <v>62</v>
      </c>
      <c r="AH12" s="3" t="s">
        <v>62</v>
      </c>
      <c r="AI12" s="3" t="s">
        <v>67</v>
      </c>
      <c r="AJ12" s="3" t="s">
        <v>77</v>
      </c>
      <c r="AK12" s="3" t="s">
        <v>75</v>
      </c>
      <c r="AL12" s="13">
        <f t="shared" si="0"/>
        <v>29</v>
      </c>
      <c r="AM12" s="15">
        <f t="shared" si="1"/>
        <v>300000000</v>
      </c>
      <c r="AN12" s="3">
        <f t="shared" si="2"/>
        <v>6</v>
      </c>
      <c r="AO12" s="3" t="str">
        <f t="shared" si="3"/>
        <v>Yes</v>
      </c>
      <c r="AP12" s="17">
        <f t="shared" si="4"/>
        <v>1.7272727272727271</v>
      </c>
      <c r="AQ12" s="17">
        <f t="shared" si="5"/>
        <v>0.65144564768954094</v>
      </c>
      <c r="AR12" s="17">
        <f t="shared" si="6"/>
        <v>1</v>
      </c>
      <c r="AS12" s="15">
        <f t="shared" si="7"/>
        <v>7500000</v>
      </c>
      <c r="AT12" s="17">
        <f t="shared" si="8"/>
        <v>0.1</v>
      </c>
      <c r="AU12" s="17">
        <f t="shared" si="9"/>
        <v>0.13333333333333333</v>
      </c>
      <c r="AV12" s="15">
        <f t="shared" si="10"/>
        <v>25000000</v>
      </c>
      <c r="AW12" s="18">
        <f t="shared" si="11"/>
        <v>1</v>
      </c>
      <c r="AX12" s="27" t="str">
        <f>IF(OR(K12&lt;Outlier_Audit!$H$2,K12&gt;Outlier_Audit!$I$2),"Review","Normal")</f>
        <v>Normal</v>
      </c>
      <c r="AY12" t="str">
        <f t="shared" si="12"/>
        <v>20-29 years</v>
      </c>
      <c r="AZ12" t="str">
        <f>IF(AQ12="","Missing",IF(AQ12&gt;=EDA_Performance!$B$7,"High Growth",IF(AQ12&lt;=EDA_Performance!$B$5,"Low Growth","Middle")))</f>
        <v>High Growth</v>
      </c>
    </row>
    <row r="13" spans="1:52">
      <c r="A13" s="12">
        <v>1614146</v>
      </c>
      <c r="B13" s="3" t="s">
        <v>65</v>
      </c>
      <c r="C13" s="3" t="s">
        <v>58</v>
      </c>
      <c r="D13" s="13">
        <v>80</v>
      </c>
      <c r="E13" s="13">
        <v>2023</v>
      </c>
      <c r="F13" s="13">
        <v>20</v>
      </c>
      <c r="G13" s="3" t="s">
        <v>78</v>
      </c>
      <c r="H13" s="13">
        <v>2005</v>
      </c>
      <c r="I13" s="13">
        <v>20</v>
      </c>
      <c r="J13" s="14">
        <v>585.955322265625</v>
      </c>
      <c r="K13" s="15">
        <v>2000000000</v>
      </c>
      <c r="L13" s="15">
        <v>1000000000</v>
      </c>
      <c r="M13" s="16">
        <v>70</v>
      </c>
      <c r="N13" s="13">
        <v>80</v>
      </c>
      <c r="O13" s="13">
        <v>40</v>
      </c>
      <c r="P13" s="15">
        <v>200000000</v>
      </c>
      <c r="Q13" s="15">
        <v>800000000</v>
      </c>
      <c r="R13" s="15">
        <v>700000000</v>
      </c>
      <c r="S13" s="16">
        <v>30</v>
      </c>
      <c r="T13" s="3" t="s">
        <v>52</v>
      </c>
      <c r="U13" s="3" t="s">
        <v>52</v>
      </c>
      <c r="V13" s="3" t="s">
        <v>52</v>
      </c>
      <c r="W13" s="16">
        <v>40</v>
      </c>
      <c r="X13" s="16">
        <v>5</v>
      </c>
      <c r="Y13" s="16">
        <v>0</v>
      </c>
      <c r="Z13" s="3" t="s">
        <v>52</v>
      </c>
      <c r="AA13" s="15">
        <v>80000000</v>
      </c>
      <c r="AB13" s="3" t="s">
        <v>52</v>
      </c>
      <c r="AC13" s="3" t="s">
        <v>53</v>
      </c>
      <c r="AD13" s="3" t="s">
        <v>52</v>
      </c>
      <c r="AE13" s="16">
        <v>4</v>
      </c>
      <c r="AF13" s="3" t="s">
        <v>55</v>
      </c>
      <c r="AG13" s="3" t="s">
        <v>62</v>
      </c>
      <c r="AH13" s="3" t="s">
        <v>62</v>
      </c>
      <c r="AI13" s="3" t="s">
        <v>62</v>
      </c>
      <c r="AJ13" s="3" t="s">
        <v>56</v>
      </c>
      <c r="AK13" s="3" t="s">
        <v>57</v>
      </c>
      <c r="AL13" s="13">
        <f t="shared" si="0"/>
        <v>19</v>
      </c>
      <c r="AM13" s="15">
        <f t="shared" si="1"/>
        <v>80000000</v>
      </c>
      <c r="AN13" s="3">
        <f t="shared" si="2"/>
        <v>4</v>
      </c>
      <c r="AO13" s="3" t="str">
        <f t="shared" si="3"/>
        <v>Yes</v>
      </c>
      <c r="AP13" s="17">
        <f t="shared" si="4"/>
        <v>1</v>
      </c>
      <c r="AQ13" s="17">
        <f t="shared" si="5"/>
        <v>0.41421356237309515</v>
      </c>
      <c r="AR13" s="17">
        <f t="shared" si="6"/>
        <v>1</v>
      </c>
      <c r="AS13" s="15">
        <f t="shared" si="7"/>
        <v>25000000</v>
      </c>
      <c r="AT13" s="17">
        <f t="shared" si="8"/>
        <v>0.1</v>
      </c>
      <c r="AU13" s="17">
        <f t="shared" si="9"/>
        <v>0.4</v>
      </c>
      <c r="AV13" s="15">
        <f t="shared" si="10"/>
        <v>8750000</v>
      </c>
      <c r="AW13" s="18">
        <f t="shared" si="11"/>
        <v>0.04</v>
      </c>
      <c r="AX13" s="27" t="str">
        <f>IF(OR(K13&lt;Outlier_Audit!$H$2,K13&gt;Outlier_Audit!$I$2),"Review","Normal")</f>
        <v>Normal</v>
      </c>
      <c r="AY13" t="str">
        <f t="shared" si="12"/>
        <v>10-19 years</v>
      </c>
      <c r="AZ13" t="str">
        <f>IF(AQ13="","Missing",IF(AQ13&gt;=EDA_Performance!$B$7,"High Growth",IF(AQ13&lt;=EDA_Performance!$B$5,"Low Growth","Middle")))</f>
        <v>High Growth</v>
      </c>
    </row>
    <row r="14" spans="1:52">
      <c r="A14" s="12">
        <v>1614147</v>
      </c>
      <c r="B14" s="3" t="s">
        <v>49</v>
      </c>
      <c r="C14" s="3" t="s">
        <v>50</v>
      </c>
      <c r="D14" s="13">
        <v>100</v>
      </c>
      <c r="E14" s="13">
        <v>1079</v>
      </c>
      <c r="F14" s="13">
        <v>10</v>
      </c>
      <c r="G14" s="3" t="s">
        <v>51</v>
      </c>
      <c r="H14" s="13">
        <v>1982</v>
      </c>
      <c r="I14" s="13">
        <v>43</v>
      </c>
      <c r="J14" s="14">
        <v>1</v>
      </c>
      <c r="K14" s="15">
        <v>3000000000</v>
      </c>
      <c r="L14" s="15">
        <v>2500000000</v>
      </c>
      <c r="M14" s="16">
        <v>30</v>
      </c>
      <c r="N14" s="13">
        <v>35</v>
      </c>
      <c r="O14" s="13">
        <v>35</v>
      </c>
      <c r="P14" s="15">
        <v>300000000</v>
      </c>
      <c r="Q14" s="15">
        <v>900000000</v>
      </c>
      <c r="R14" s="15">
        <v>600000000</v>
      </c>
      <c r="S14" s="16">
        <v>10</v>
      </c>
      <c r="T14" s="3" t="s">
        <v>52</v>
      </c>
      <c r="U14" s="3" t="s">
        <v>53</v>
      </c>
      <c r="V14" s="3" t="s">
        <v>52</v>
      </c>
      <c r="W14" s="16">
        <v>100</v>
      </c>
      <c r="X14" s="16">
        <v>0</v>
      </c>
      <c r="Y14" s="16">
        <v>0</v>
      </c>
      <c r="Z14" s="3" t="s">
        <v>53</v>
      </c>
      <c r="AA14" s="15"/>
      <c r="AB14" s="3" t="s">
        <v>53</v>
      </c>
      <c r="AC14" s="3" t="s">
        <v>53</v>
      </c>
      <c r="AD14" s="3" t="s">
        <v>52</v>
      </c>
      <c r="AE14" s="16">
        <v>5</v>
      </c>
      <c r="AF14" s="3" t="s">
        <v>55</v>
      </c>
      <c r="AG14" s="3" t="s">
        <v>67</v>
      </c>
      <c r="AH14" s="3" t="s">
        <v>54</v>
      </c>
      <c r="AI14" s="3" t="s">
        <v>61</v>
      </c>
      <c r="AJ14" s="3" t="s">
        <v>79</v>
      </c>
      <c r="AK14" s="3" t="s">
        <v>57</v>
      </c>
      <c r="AL14" s="13">
        <f t="shared" si="0"/>
        <v>42</v>
      </c>
      <c r="AM14" s="15">
        <f t="shared" si="1"/>
        <v>0</v>
      </c>
      <c r="AN14" s="3">
        <f t="shared" si="2"/>
        <v>5</v>
      </c>
      <c r="AO14" s="3" t="str">
        <f t="shared" si="3"/>
        <v>Yes</v>
      </c>
      <c r="AP14" s="17">
        <f t="shared" si="4"/>
        <v>0.19999999999999996</v>
      </c>
      <c r="AQ14" s="17">
        <f t="shared" si="5"/>
        <v>9.5445115010332149E-2</v>
      </c>
      <c r="AR14" s="17">
        <f t="shared" si="6"/>
        <v>0</v>
      </c>
      <c r="AS14" s="15">
        <f t="shared" si="7"/>
        <v>85714285.714285716</v>
      </c>
      <c r="AT14" s="17">
        <f t="shared" si="8"/>
        <v>0.1</v>
      </c>
      <c r="AU14" s="17">
        <f t="shared" si="9"/>
        <v>0.3</v>
      </c>
      <c r="AV14" s="15">
        <f t="shared" si="10"/>
        <v>17142857.142857142</v>
      </c>
      <c r="AW14" s="18">
        <f t="shared" si="11"/>
        <v>0</v>
      </c>
      <c r="AX14" s="27" t="str">
        <f>IF(OR(K14&lt;Outlier_Audit!$H$2,K14&gt;Outlier_Audit!$I$2),"Review","Normal")</f>
        <v>Normal</v>
      </c>
      <c r="AY14" t="str">
        <f t="shared" si="12"/>
        <v>30+ years</v>
      </c>
      <c r="AZ14" t="str">
        <f>IF(AQ14="","Missing",IF(AQ14&gt;=EDA_Performance!$B$7,"High Growth",IF(AQ14&lt;=EDA_Performance!$B$5,"Low Growth","Middle")))</f>
        <v>Middle</v>
      </c>
    </row>
    <row r="15" spans="1:52">
      <c r="A15" s="12">
        <v>1614149</v>
      </c>
      <c r="B15" s="3" t="s">
        <v>80</v>
      </c>
      <c r="C15" s="3" t="s">
        <v>66</v>
      </c>
      <c r="D15" s="13">
        <v>10</v>
      </c>
      <c r="E15" s="13">
        <v>1040</v>
      </c>
      <c r="F15" s="13">
        <v>10</v>
      </c>
      <c r="G15" s="3" t="s">
        <v>51</v>
      </c>
      <c r="H15" s="13">
        <v>2013</v>
      </c>
      <c r="I15" s="13">
        <v>10</v>
      </c>
      <c r="J15" s="14">
        <v>1.8265390396118164</v>
      </c>
      <c r="K15" s="15">
        <v>300000000</v>
      </c>
      <c r="L15" s="15">
        <v>250000000</v>
      </c>
      <c r="M15" s="16">
        <v>100</v>
      </c>
      <c r="N15" s="13">
        <v>15</v>
      </c>
      <c r="O15" s="13">
        <v>10</v>
      </c>
      <c r="P15" s="15">
        <v>70000000</v>
      </c>
      <c r="Q15" s="15">
        <v>100000000</v>
      </c>
      <c r="R15" s="15">
        <v>400000000</v>
      </c>
      <c r="S15" s="16">
        <v>0</v>
      </c>
      <c r="T15" s="3" t="s">
        <v>60</v>
      </c>
      <c r="U15" s="3" t="s">
        <v>53</v>
      </c>
      <c r="V15" s="3" t="s">
        <v>53</v>
      </c>
      <c r="W15" s="16">
        <v>40</v>
      </c>
      <c r="X15" s="16">
        <v>0</v>
      </c>
      <c r="Y15" s="16">
        <v>40</v>
      </c>
      <c r="Z15" s="3" t="s">
        <v>53</v>
      </c>
      <c r="AA15" s="15"/>
      <c r="AB15" s="3" t="s">
        <v>53</v>
      </c>
      <c r="AC15" s="3" t="s">
        <v>53</v>
      </c>
      <c r="AD15" s="3" t="s">
        <v>52</v>
      </c>
      <c r="AE15" s="16">
        <v>7</v>
      </c>
      <c r="AF15" s="3" t="s">
        <v>54</v>
      </c>
      <c r="AG15" s="3" t="s">
        <v>67</v>
      </c>
      <c r="AH15" s="3" t="s">
        <v>62</v>
      </c>
      <c r="AI15" s="3" t="s">
        <v>61</v>
      </c>
      <c r="AJ15" s="3" t="s">
        <v>79</v>
      </c>
      <c r="AK15" s="3" t="s">
        <v>57</v>
      </c>
      <c r="AL15" s="13">
        <f t="shared" si="0"/>
        <v>11</v>
      </c>
      <c r="AM15" s="15">
        <f t="shared" si="1"/>
        <v>0</v>
      </c>
      <c r="AN15" s="3">
        <f t="shared" si="2"/>
        <v>7</v>
      </c>
      <c r="AO15" s="3" t="str">
        <f t="shared" si="3"/>
        <v>No</v>
      </c>
      <c r="AP15" s="17">
        <f t="shared" si="4"/>
        <v>0.19999999999999996</v>
      </c>
      <c r="AQ15" s="17">
        <f t="shared" si="5"/>
        <v>9.5445115010332149E-2</v>
      </c>
      <c r="AR15" s="17">
        <f t="shared" si="6"/>
        <v>0.5</v>
      </c>
      <c r="AS15" s="15">
        <f t="shared" si="7"/>
        <v>20000000</v>
      </c>
      <c r="AT15" s="17">
        <f t="shared" si="8"/>
        <v>0.23333333333333334</v>
      </c>
      <c r="AU15" s="17">
        <f t="shared" si="9"/>
        <v>0.33333333333333331</v>
      </c>
      <c r="AV15" s="15">
        <f t="shared" si="10"/>
        <v>26666666.666666668</v>
      </c>
      <c r="AW15" s="18">
        <f t="shared" si="11"/>
        <v>0</v>
      </c>
      <c r="AX15" s="27" t="str">
        <f>IF(OR(K15&lt;Outlier_Audit!$H$2,K15&gt;Outlier_Audit!$I$2),"Review","Normal")</f>
        <v>Normal</v>
      </c>
      <c r="AY15" t="str">
        <f t="shared" si="12"/>
        <v>10-19 years</v>
      </c>
      <c r="AZ15" t="str">
        <f>IF(AQ15="","Missing",IF(AQ15&gt;=EDA_Performance!$B$7,"High Growth",IF(AQ15&lt;=EDA_Performance!$B$5,"Low Growth","Middle")))</f>
        <v>Middle</v>
      </c>
    </row>
    <row r="16" spans="1:52">
      <c r="A16" s="12">
        <v>1614151</v>
      </c>
      <c r="B16" s="3" t="s">
        <v>65</v>
      </c>
      <c r="C16" s="3" t="s">
        <v>50</v>
      </c>
      <c r="D16" s="13">
        <v>355</v>
      </c>
      <c r="E16" s="13">
        <v>1079</v>
      </c>
      <c r="F16" s="13">
        <v>10</v>
      </c>
      <c r="G16" s="3" t="s">
        <v>51</v>
      </c>
      <c r="H16" s="13">
        <v>1994</v>
      </c>
      <c r="I16" s="13">
        <v>25</v>
      </c>
      <c r="J16" s="14">
        <v>1</v>
      </c>
      <c r="K16" s="15">
        <v>68000000000</v>
      </c>
      <c r="L16" s="15">
        <v>67000000000</v>
      </c>
      <c r="M16" s="16">
        <v>69</v>
      </c>
      <c r="N16" s="13">
        <v>124</v>
      </c>
      <c r="O16" s="13">
        <v>118</v>
      </c>
      <c r="P16" s="15">
        <v>4140000000</v>
      </c>
      <c r="Q16" s="15">
        <v>37820000000</v>
      </c>
      <c r="R16" s="15">
        <v>95000000000</v>
      </c>
      <c r="S16" s="16">
        <v>1</v>
      </c>
      <c r="T16" s="3" t="s">
        <v>52</v>
      </c>
      <c r="U16" s="3" t="s">
        <v>52</v>
      </c>
      <c r="V16" s="3" t="s">
        <v>53</v>
      </c>
      <c r="W16" s="16">
        <v>100</v>
      </c>
      <c r="X16" s="16">
        <v>0</v>
      </c>
      <c r="Y16" s="16">
        <v>0</v>
      </c>
      <c r="Z16" s="3" t="s">
        <v>53</v>
      </c>
      <c r="AA16" s="15"/>
      <c r="AB16" s="3" t="s">
        <v>53</v>
      </c>
      <c r="AC16" s="3" t="s">
        <v>53</v>
      </c>
      <c r="AD16" s="3" t="s">
        <v>52</v>
      </c>
      <c r="AE16" s="16">
        <v>10</v>
      </c>
      <c r="AF16" s="3" t="s">
        <v>61</v>
      </c>
      <c r="AG16" s="3" t="s">
        <v>67</v>
      </c>
      <c r="AH16" s="3" t="s">
        <v>67</v>
      </c>
      <c r="AI16" s="3" t="s">
        <v>61</v>
      </c>
      <c r="AJ16" s="3" t="s">
        <v>63</v>
      </c>
      <c r="AK16" s="3" t="s">
        <v>57</v>
      </c>
      <c r="AL16" s="13">
        <f t="shared" si="0"/>
        <v>30</v>
      </c>
      <c r="AM16" s="15">
        <f t="shared" si="1"/>
        <v>0</v>
      </c>
      <c r="AN16" s="3">
        <f t="shared" si="2"/>
        <v>10</v>
      </c>
      <c r="AO16" s="3" t="str">
        <f t="shared" si="3"/>
        <v>Yes</v>
      </c>
      <c r="AP16" s="17">
        <f t="shared" si="4"/>
        <v>1.4925373134328401E-2</v>
      </c>
      <c r="AQ16" s="17">
        <f t="shared" si="5"/>
        <v>7.4350466081316569E-3</v>
      </c>
      <c r="AR16" s="17">
        <f t="shared" si="6"/>
        <v>5.0847457627118731E-2</v>
      </c>
      <c r="AS16" s="15">
        <f t="shared" si="7"/>
        <v>548387096.77419353</v>
      </c>
      <c r="AT16" s="17">
        <f t="shared" si="8"/>
        <v>6.0882352941176471E-2</v>
      </c>
      <c r="AU16" s="17">
        <f t="shared" si="9"/>
        <v>0.55617647058823527</v>
      </c>
      <c r="AV16" s="15">
        <f t="shared" si="10"/>
        <v>766129032.25806451</v>
      </c>
      <c r="AW16" s="18">
        <f t="shared" si="11"/>
        <v>0</v>
      </c>
      <c r="AX16" s="27" t="str">
        <f>IF(OR(K16&lt;Outlier_Audit!$H$2,K16&gt;Outlier_Audit!$I$2),"Review","Normal")</f>
        <v>Review</v>
      </c>
      <c r="AY16" t="str">
        <f t="shared" si="12"/>
        <v>30+ years</v>
      </c>
      <c r="AZ16" t="str">
        <f>IF(AQ16="","Missing",IF(AQ16&gt;=EDA_Performance!$B$7,"High Growth",IF(AQ16&lt;=EDA_Performance!$B$5,"Low Growth","Middle")))</f>
        <v>Low Growth</v>
      </c>
    </row>
    <row r="17" spans="1:52">
      <c r="A17" s="12">
        <v>1614153</v>
      </c>
      <c r="B17" s="3" t="s">
        <v>49</v>
      </c>
      <c r="C17" s="3" t="s">
        <v>66</v>
      </c>
      <c r="D17" s="13">
        <v>8</v>
      </c>
      <c r="E17" s="13">
        <v>3100</v>
      </c>
      <c r="F17" s="13">
        <v>31</v>
      </c>
      <c r="G17" s="3" t="s">
        <v>71</v>
      </c>
      <c r="H17" s="13">
        <v>2021</v>
      </c>
      <c r="I17" s="13">
        <v>5</v>
      </c>
      <c r="J17" s="14">
        <v>3.0692381858825684</v>
      </c>
      <c r="K17" s="15">
        <v>60000000</v>
      </c>
      <c r="L17" s="15">
        <v>30000000</v>
      </c>
      <c r="M17" s="16">
        <v>70</v>
      </c>
      <c r="N17" s="13">
        <v>8</v>
      </c>
      <c r="O17" s="13">
        <v>8</v>
      </c>
      <c r="P17" s="15">
        <v>20000000</v>
      </c>
      <c r="Q17" s="15">
        <v>35000000</v>
      </c>
      <c r="R17" s="15"/>
      <c r="S17" s="16">
        <v>0</v>
      </c>
      <c r="T17" s="3" t="s">
        <v>60</v>
      </c>
      <c r="U17" s="3" t="s">
        <v>53</v>
      </c>
      <c r="V17" s="3" t="s">
        <v>53</v>
      </c>
      <c r="W17" s="16">
        <v>30</v>
      </c>
      <c r="X17" s="16">
        <v>25</v>
      </c>
      <c r="Y17" s="16">
        <v>20</v>
      </c>
      <c r="Z17" s="3" t="s">
        <v>53</v>
      </c>
      <c r="AA17" s="15"/>
      <c r="AB17" s="3" t="s">
        <v>52</v>
      </c>
      <c r="AC17" s="3" t="s">
        <v>53</v>
      </c>
      <c r="AD17" s="3" t="s">
        <v>52</v>
      </c>
      <c r="AE17" s="16">
        <v>6</v>
      </c>
      <c r="AF17" s="3" t="s">
        <v>67</v>
      </c>
      <c r="AG17" s="3" t="s">
        <v>55</v>
      </c>
      <c r="AH17" s="3" t="s">
        <v>62</v>
      </c>
      <c r="AI17" s="3" t="s">
        <v>55</v>
      </c>
      <c r="AJ17" s="3" t="s">
        <v>56</v>
      </c>
      <c r="AK17" s="3" t="s">
        <v>64</v>
      </c>
      <c r="AL17" s="13">
        <f t="shared" si="0"/>
        <v>3</v>
      </c>
      <c r="AM17" s="15">
        <f t="shared" si="1"/>
        <v>0</v>
      </c>
      <c r="AN17" s="3">
        <f t="shared" si="2"/>
        <v>6</v>
      </c>
      <c r="AO17" s="3" t="str">
        <f t="shared" si="3"/>
        <v>No</v>
      </c>
      <c r="AP17" s="17">
        <f t="shared" si="4"/>
        <v>1</v>
      </c>
      <c r="AQ17" s="17">
        <f t="shared" si="5"/>
        <v>0.41421356237309515</v>
      </c>
      <c r="AR17" s="17">
        <f t="shared" si="6"/>
        <v>0</v>
      </c>
      <c r="AS17" s="15">
        <f t="shared" si="7"/>
        <v>7500000</v>
      </c>
      <c r="AT17" s="17">
        <f t="shared" si="8"/>
        <v>0.33333333333333331</v>
      </c>
      <c r="AU17" s="17">
        <f t="shared" si="9"/>
        <v>0.58333333333333337</v>
      </c>
      <c r="AV17" s="15" t="str">
        <f t="shared" si="10"/>
        <v/>
      </c>
      <c r="AW17" s="18">
        <f t="shared" si="11"/>
        <v>0</v>
      </c>
      <c r="AX17" s="27" t="str">
        <f>IF(OR(K17&lt;Outlier_Audit!$H$2,K17&gt;Outlier_Audit!$I$2),"Review","Normal")</f>
        <v>Normal</v>
      </c>
      <c r="AY17" t="str">
        <f t="shared" si="12"/>
        <v>&lt;10 years</v>
      </c>
      <c r="AZ17" t="str">
        <f>IF(AQ17="","Missing",IF(AQ17&gt;=EDA_Performance!$B$7,"High Growth",IF(AQ17&lt;=EDA_Performance!$B$5,"Low Growth","Middle")))</f>
        <v>High Growth</v>
      </c>
    </row>
    <row r="18" spans="1:52">
      <c r="A18" s="12">
        <v>1614155</v>
      </c>
      <c r="B18" s="3" t="s">
        <v>74</v>
      </c>
      <c r="C18" s="3" t="s">
        <v>66</v>
      </c>
      <c r="D18" s="13">
        <v>16</v>
      </c>
      <c r="E18" s="13">
        <v>1410</v>
      </c>
      <c r="F18" s="13">
        <v>14</v>
      </c>
      <c r="G18" s="3" t="s">
        <v>59</v>
      </c>
      <c r="H18" s="13">
        <v>1990</v>
      </c>
      <c r="I18" s="13">
        <v>35</v>
      </c>
      <c r="J18" s="14">
        <v>2.4641058444976807</v>
      </c>
      <c r="K18" s="15">
        <v>57242000</v>
      </c>
      <c r="L18" s="15">
        <v>35000000</v>
      </c>
      <c r="M18" s="16">
        <v>13</v>
      </c>
      <c r="N18" s="13">
        <v>6</v>
      </c>
      <c r="O18" s="13">
        <v>6</v>
      </c>
      <c r="P18" s="15">
        <v>18000000</v>
      </c>
      <c r="Q18" s="15">
        <v>22500000</v>
      </c>
      <c r="R18" s="15">
        <v>26500000</v>
      </c>
      <c r="S18" s="16">
        <v>0</v>
      </c>
      <c r="T18" s="3" t="s">
        <v>60</v>
      </c>
      <c r="U18" s="3" t="s">
        <v>53</v>
      </c>
      <c r="V18" s="3" t="s">
        <v>53</v>
      </c>
      <c r="W18" s="16">
        <v>50</v>
      </c>
      <c r="X18" s="16">
        <v>10</v>
      </c>
      <c r="Y18" s="16">
        <v>10</v>
      </c>
      <c r="Z18" s="3" t="s">
        <v>53</v>
      </c>
      <c r="AA18" s="15"/>
      <c r="AB18" s="3" t="s">
        <v>52</v>
      </c>
      <c r="AC18" s="3" t="s">
        <v>52</v>
      </c>
      <c r="AD18" s="3" t="s">
        <v>52</v>
      </c>
      <c r="AE18" s="16">
        <v>0</v>
      </c>
      <c r="AF18" s="3" t="s">
        <v>67</v>
      </c>
      <c r="AG18" s="3" t="s">
        <v>55</v>
      </c>
      <c r="AH18" s="3" t="s">
        <v>62</v>
      </c>
      <c r="AI18" s="3" t="s">
        <v>67</v>
      </c>
      <c r="AJ18" s="3" t="s">
        <v>70</v>
      </c>
      <c r="AK18" s="3" t="s">
        <v>57</v>
      </c>
      <c r="AL18" s="13">
        <f t="shared" si="0"/>
        <v>34</v>
      </c>
      <c r="AM18" s="15">
        <f t="shared" si="1"/>
        <v>0</v>
      </c>
      <c r="AN18" s="3">
        <f t="shared" si="2"/>
        <v>0</v>
      </c>
      <c r="AO18" s="3" t="str">
        <f t="shared" si="3"/>
        <v>No</v>
      </c>
      <c r="AP18" s="17">
        <f t="shared" si="4"/>
        <v>0.63548571428571421</v>
      </c>
      <c r="AQ18" s="17">
        <f t="shared" si="5"/>
        <v>0.27886110046623669</v>
      </c>
      <c r="AR18" s="17">
        <f t="shared" si="6"/>
        <v>0</v>
      </c>
      <c r="AS18" s="15">
        <f t="shared" si="7"/>
        <v>9540333.333333334</v>
      </c>
      <c r="AT18" s="17">
        <f t="shared" si="8"/>
        <v>0.31445442157856118</v>
      </c>
      <c r="AU18" s="17">
        <f t="shared" si="9"/>
        <v>0.39306802697320148</v>
      </c>
      <c r="AV18" s="15">
        <f t="shared" si="10"/>
        <v>4416666.666666667</v>
      </c>
      <c r="AW18" s="18">
        <f t="shared" si="11"/>
        <v>0</v>
      </c>
      <c r="AX18" s="27" t="str">
        <f>IF(OR(K18&lt;Outlier_Audit!$H$2,K18&gt;Outlier_Audit!$I$2),"Review","Normal")</f>
        <v>Normal</v>
      </c>
      <c r="AY18" t="str">
        <f t="shared" si="12"/>
        <v>30+ years</v>
      </c>
      <c r="AZ18" t="str">
        <f>IF(AQ18="","Missing",IF(AQ18&gt;=EDA_Performance!$B$7,"High Growth",IF(AQ18&lt;=EDA_Performance!$B$5,"Low Growth","Middle")))</f>
        <v>High Growth</v>
      </c>
    </row>
    <row r="19" spans="1:52">
      <c r="A19" s="12">
        <v>1614157</v>
      </c>
      <c r="B19" s="3" t="s">
        <v>49</v>
      </c>
      <c r="C19" s="3" t="s">
        <v>58</v>
      </c>
      <c r="D19" s="13">
        <v>7</v>
      </c>
      <c r="E19" s="13">
        <v>1061</v>
      </c>
      <c r="F19" s="13">
        <v>10</v>
      </c>
      <c r="G19" s="3" t="s">
        <v>51</v>
      </c>
      <c r="H19" s="13">
        <v>2015</v>
      </c>
      <c r="I19" s="13">
        <v>10</v>
      </c>
      <c r="J19" s="14">
        <v>26.253841400146484</v>
      </c>
      <c r="K19" s="15">
        <v>32000000</v>
      </c>
      <c r="L19" s="15">
        <v>28000000</v>
      </c>
      <c r="M19" s="16">
        <v>65</v>
      </c>
      <c r="N19" s="13">
        <v>7</v>
      </c>
      <c r="O19" s="13">
        <v>7</v>
      </c>
      <c r="P19" s="15">
        <v>12000000</v>
      </c>
      <c r="Q19" s="15">
        <v>18000000</v>
      </c>
      <c r="R19" s="15">
        <v>20000000</v>
      </c>
      <c r="S19" s="16">
        <v>0</v>
      </c>
      <c r="T19" s="3" t="s">
        <v>60</v>
      </c>
      <c r="U19" s="3" t="s">
        <v>53</v>
      </c>
      <c r="V19" s="3" t="s">
        <v>53</v>
      </c>
      <c r="W19" s="16">
        <v>80</v>
      </c>
      <c r="X19" s="16">
        <v>0</v>
      </c>
      <c r="Y19" s="16">
        <v>0</v>
      </c>
      <c r="Z19" s="3" t="s">
        <v>53</v>
      </c>
      <c r="AA19" s="15"/>
      <c r="AB19" s="3" t="s">
        <v>53</v>
      </c>
      <c r="AC19" s="3" t="s">
        <v>53</v>
      </c>
      <c r="AD19" s="3" t="s">
        <v>52</v>
      </c>
      <c r="AE19" s="16">
        <v>8</v>
      </c>
      <c r="AF19" s="3" t="s">
        <v>54</v>
      </c>
      <c r="AG19" s="3" t="s">
        <v>55</v>
      </c>
      <c r="AH19" s="3" t="s">
        <v>62</v>
      </c>
      <c r="AI19" s="3" t="s">
        <v>55</v>
      </c>
      <c r="AJ19" s="3" t="s">
        <v>56</v>
      </c>
      <c r="AK19" s="3" t="s">
        <v>75</v>
      </c>
      <c r="AL19" s="13">
        <f t="shared" si="0"/>
        <v>9</v>
      </c>
      <c r="AM19" s="15">
        <f t="shared" si="1"/>
        <v>0</v>
      </c>
      <c r="AN19" s="3">
        <f t="shared" si="2"/>
        <v>8</v>
      </c>
      <c r="AO19" s="3" t="str">
        <f t="shared" si="3"/>
        <v>No</v>
      </c>
      <c r="AP19" s="17">
        <f t="shared" si="4"/>
        <v>0.14285714285714279</v>
      </c>
      <c r="AQ19" s="17">
        <f t="shared" si="5"/>
        <v>6.9044967649697586E-2</v>
      </c>
      <c r="AR19" s="17">
        <f t="shared" si="6"/>
        <v>0</v>
      </c>
      <c r="AS19" s="15">
        <f t="shared" si="7"/>
        <v>4571428.5714285718</v>
      </c>
      <c r="AT19" s="17">
        <f t="shared" si="8"/>
        <v>0.375</v>
      </c>
      <c r="AU19" s="17">
        <f t="shared" si="9"/>
        <v>0.5625</v>
      </c>
      <c r="AV19" s="15">
        <f t="shared" si="10"/>
        <v>2857142.8571428573</v>
      </c>
      <c r="AW19" s="18">
        <f t="shared" si="11"/>
        <v>0</v>
      </c>
      <c r="AX19" s="27" t="str">
        <f>IF(OR(K19&lt;Outlier_Audit!$H$2,K19&gt;Outlier_Audit!$I$2),"Review","Normal")</f>
        <v>Normal</v>
      </c>
      <c r="AY19" t="str">
        <f t="shared" si="12"/>
        <v>&lt;10 years</v>
      </c>
      <c r="AZ19" t="str">
        <f>IF(AQ19="","Missing",IF(AQ19&gt;=EDA_Performance!$B$7,"High Growth",IF(AQ19&lt;=EDA_Performance!$B$5,"Low Growth","Middle")))</f>
        <v>Middle</v>
      </c>
    </row>
    <row r="20" spans="1:52">
      <c r="A20" s="12">
        <v>1614160</v>
      </c>
      <c r="B20" s="3" t="s">
        <v>74</v>
      </c>
      <c r="C20" s="3" t="s">
        <v>58</v>
      </c>
      <c r="D20" s="13">
        <v>16</v>
      </c>
      <c r="E20" s="13">
        <v>3100</v>
      </c>
      <c r="F20" s="13">
        <v>31</v>
      </c>
      <c r="G20" s="3" t="s">
        <v>71</v>
      </c>
      <c r="H20" s="13">
        <v>2009</v>
      </c>
      <c r="I20" s="13">
        <v>20</v>
      </c>
      <c r="J20" s="14">
        <v>68.626060485839844</v>
      </c>
      <c r="K20" s="15">
        <v>45000000</v>
      </c>
      <c r="L20" s="15">
        <v>18000000</v>
      </c>
      <c r="M20" s="16">
        <v>60</v>
      </c>
      <c r="N20" s="13">
        <v>12</v>
      </c>
      <c r="O20" s="13">
        <v>8</v>
      </c>
      <c r="P20" s="15"/>
      <c r="Q20" s="15">
        <v>30000000</v>
      </c>
      <c r="R20" s="15">
        <v>50000000</v>
      </c>
      <c r="S20" s="16">
        <v>0</v>
      </c>
      <c r="T20" s="3" t="s">
        <v>60</v>
      </c>
      <c r="U20" s="3" t="s">
        <v>53</v>
      </c>
      <c r="V20" s="3" t="s">
        <v>52</v>
      </c>
      <c r="W20" s="16">
        <v>50</v>
      </c>
      <c r="X20" s="16">
        <v>25</v>
      </c>
      <c r="Y20" s="16">
        <v>0</v>
      </c>
      <c r="Z20" s="3" t="s">
        <v>53</v>
      </c>
      <c r="AA20" s="15"/>
      <c r="AB20" s="3" t="s">
        <v>52</v>
      </c>
      <c r="AC20" s="3" t="s">
        <v>52</v>
      </c>
      <c r="AD20" s="3" t="s">
        <v>52</v>
      </c>
      <c r="AE20" s="16">
        <v>30</v>
      </c>
      <c r="AF20" s="3" t="s">
        <v>55</v>
      </c>
      <c r="AG20" s="3" t="s">
        <v>54</v>
      </c>
      <c r="AH20" s="3" t="s">
        <v>67</v>
      </c>
      <c r="AI20" s="3" t="s">
        <v>55</v>
      </c>
      <c r="AJ20" s="3" t="s">
        <v>63</v>
      </c>
      <c r="AK20" s="3" t="s">
        <v>75</v>
      </c>
      <c r="AL20" s="13">
        <f t="shared" si="0"/>
        <v>15</v>
      </c>
      <c r="AM20" s="15">
        <f t="shared" si="1"/>
        <v>0</v>
      </c>
      <c r="AN20" s="3">
        <f t="shared" si="2"/>
        <v>30</v>
      </c>
      <c r="AO20" s="3" t="str">
        <f t="shared" si="3"/>
        <v>No</v>
      </c>
      <c r="AP20" s="17">
        <f t="shared" si="4"/>
        <v>1.5</v>
      </c>
      <c r="AQ20" s="17">
        <f t="shared" si="5"/>
        <v>0.58113883008418976</v>
      </c>
      <c r="AR20" s="17">
        <f t="shared" si="6"/>
        <v>0.5</v>
      </c>
      <c r="AS20" s="15">
        <f t="shared" si="7"/>
        <v>3750000</v>
      </c>
      <c r="AT20" s="17" t="str">
        <f t="shared" si="8"/>
        <v/>
      </c>
      <c r="AU20" s="17">
        <f t="shared" si="9"/>
        <v>0.66666666666666663</v>
      </c>
      <c r="AV20" s="15">
        <f t="shared" si="10"/>
        <v>4166666.6666666665</v>
      </c>
      <c r="AW20" s="18">
        <f t="shared" si="11"/>
        <v>0</v>
      </c>
      <c r="AX20" s="27" t="str">
        <f>IF(OR(K20&lt;Outlier_Audit!$H$2,K20&gt;Outlier_Audit!$I$2),"Review","Normal")</f>
        <v>Normal</v>
      </c>
      <c r="AY20" t="str">
        <f t="shared" si="12"/>
        <v>10-19 years</v>
      </c>
      <c r="AZ20" t="str">
        <f>IF(AQ20="","Missing",IF(AQ20&gt;=EDA_Performance!$B$7,"High Growth",IF(AQ20&lt;=EDA_Performance!$B$5,"Low Growth","Middle")))</f>
        <v>High Growth</v>
      </c>
    </row>
    <row r="21" spans="1:52">
      <c r="A21" s="12">
        <v>1614161</v>
      </c>
      <c r="B21" s="3" t="s">
        <v>49</v>
      </c>
      <c r="C21" s="3" t="s">
        <v>58</v>
      </c>
      <c r="D21" s="13">
        <v>7</v>
      </c>
      <c r="E21" s="13">
        <v>1061</v>
      </c>
      <c r="F21" s="13">
        <v>10</v>
      </c>
      <c r="G21" s="3" t="s">
        <v>51</v>
      </c>
      <c r="H21" s="13">
        <v>2000</v>
      </c>
      <c r="I21" s="13">
        <v>25</v>
      </c>
      <c r="J21" s="14">
        <v>118.82497406005859</v>
      </c>
      <c r="K21" s="15">
        <v>154000000</v>
      </c>
      <c r="L21" s="15">
        <v>144000000</v>
      </c>
      <c r="M21" s="16">
        <v>100</v>
      </c>
      <c r="N21" s="13">
        <v>7</v>
      </c>
      <c r="O21" s="13">
        <v>7</v>
      </c>
      <c r="P21" s="15">
        <v>21600000</v>
      </c>
      <c r="Q21" s="15">
        <v>35000000</v>
      </c>
      <c r="R21" s="15">
        <v>300000000</v>
      </c>
      <c r="S21" s="16">
        <v>0</v>
      </c>
      <c r="T21" s="3" t="s">
        <v>60</v>
      </c>
      <c r="U21" s="3" t="s">
        <v>53</v>
      </c>
      <c r="V21" s="3" t="s">
        <v>53</v>
      </c>
      <c r="W21" s="16">
        <v>70</v>
      </c>
      <c r="X21" s="16">
        <v>0</v>
      </c>
      <c r="Y21" s="16">
        <v>0</v>
      </c>
      <c r="Z21" s="3" t="s">
        <v>53</v>
      </c>
      <c r="AA21" s="15"/>
      <c r="AB21" s="3" t="s">
        <v>53</v>
      </c>
      <c r="AC21" s="3" t="s">
        <v>53</v>
      </c>
      <c r="AD21" s="3" t="s">
        <v>52</v>
      </c>
      <c r="AE21" s="16">
        <v>1</v>
      </c>
      <c r="AF21" s="3" t="s">
        <v>54</v>
      </c>
      <c r="AG21" s="3" t="s">
        <v>61</v>
      </c>
      <c r="AH21" s="3" t="s">
        <v>62</v>
      </c>
      <c r="AI21" s="3" t="s">
        <v>55</v>
      </c>
      <c r="AJ21" s="3" t="s">
        <v>63</v>
      </c>
      <c r="AK21" s="3" t="s">
        <v>64</v>
      </c>
      <c r="AL21" s="13">
        <f t="shared" si="0"/>
        <v>24</v>
      </c>
      <c r="AM21" s="15">
        <f t="shared" si="1"/>
        <v>0</v>
      </c>
      <c r="AN21" s="3">
        <f t="shared" si="2"/>
        <v>1</v>
      </c>
      <c r="AO21" s="3" t="str">
        <f t="shared" si="3"/>
        <v>No</v>
      </c>
      <c r="AP21" s="17">
        <f t="shared" si="4"/>
        <v>6.944444444444442E-2</v>
      </c>
      <c r="AQ21" s="17">
        <f t="shared" si="5"/>
        <v>3.4139470499237934E-2</v>
      </c>
      <c r="AR21" s="17">
        <f t="shared" si="6"/>
        <v>0</v>
      </c>
      <c r="AS21" s="15">
        <f t="shared" si="7"/>
        <v>22000000</v>
      </c>
      <c r="AT21" s="17">
        <f t="shared" si="8"/>
        <v>0.14025974025974025</v>
      </c>
      <c r="AU21" s="17">
        <f t="shared" si="9"/>
        <v>0.22727272727272727</v>
      </c>
      <c r="AV21" s="15">
        <f t="shared" si="10"/>
        <v>42857142.857142858</v>
      </c>
      <c r="AW21" s="18">
        <f t="shared" si="11"/>
        <v>0</v>
      </c>
      <c r="AX21" s="27" t="str">
        <f>IF(OR(K21&lt;Outlier_Audit!$H$2,K21&gt;Outlier_Audit!$I$2),"Review","Normal")</f>
        <v>Normal</v>
      </c>
      <c r="AY21" t="str">
        <f t="shared" si="12"/>
        <v>20-29 years</v>
      </c>
      <c r="AZ21" t="str">
        <f>IF(AQ21="","Missing",IF(AQ21&gt;=EDA_Performance!$B$7,"High Growth",IF(AQ21&lt;=EDA_Performance!$B$5,"Low Growth","Middle")))</f>
        <v>Low Growth</v>
      </c>
    </row>
    <row r="22" spans="1:52">
      <c r="A22" s="12">
        <v>1614163</v>
      </c>
      <c r="B22" s="3" t="s">
        <v>80</v>
      </c>
      <c r="C22" s="3" t="s">
        <v>58</v>
      </c>
      <c r="D22" s="13">
        <v>30</v>
      </c>
      <c r="E22" s="13">
        <v>1040</v>
      </c>
      <c r="F22" s="13">
        <v>10</v>
      </c>
      <c r="G22" s="3" t="s">
        <v>51</v>
      </c>
      <c r="H22" s="13">
        <v>1994</v>
      </c>
      <c r="I22" s="13">
        <v>4</v>
      </c>
      <c r="J22" s="14">
        <v>1</v>
      </c>
      <c r="K22" s="15">
        <v>2165000000</v>
      </c>
      <c r="L22" s="15">
        <v>1800000000</v>
      </c>
      <c r="M22" s="16">
        <v>100</v>
      </c>
      <c r="N22" s="13">
        <v>15</v>
      </c>
      <c r="O22" s="13">
        <v>10</v>
      </c>
      <c r="P22" s="15">
        <v>720000000</v>
      </c>
      <c r="Q22" s="15">
        <v>900000000</v>
      </c>
      <c r="R22" s="15">
        <v>10000000000</v>
      </c>
      <c r="S22" s="16">
        <v>0</v>
      </c>
      <c r="T22" s="3" t="s">
        <v>52</v>
      </c>
      <c r="U22" s="3" t="s">
        <v>52</v>
      </c>
      <c r="V22" s="3" t="s">
        <v>53</v>
      </c>
      <c r="W22" s="16">
        <v>0</v>
      </c>
      <c r="X22" s="16">
        <v>0</v>
      </c>
      <c r="Y22" s="16">
        <v>30</v>
      </c>
      <c r="Z22" s="3" t="s">
        <v>52</v>
      </c>
      <c r="AA22" s="15">
        <v>100000000</v>
      </c>
      <c r="AB22" s="3" t="s">
        <v>53</v>
      </c>
      <c r="AC22" s="3" t="s">
        <v>53</v>
      </c>
      <c r="AD22" s="3" t="s">
        <v>52</v>
      </c>
      <c r="AE22" s="16">
        <v>3</v>
      </c>
      <c r="AF22" s="3" t="s">
        <v>67</v>
      </c>
      <c r="AG22" s="3" t="s">
        <v>62</v>
      </c>
      <c r="AH22" s="3" t="s">
        <v>62</v>
      </c>
      <c r="AI22" s="3" t="s">
        <v>55</v>
      </c>
      <c r="AJ22" s="3" t="s">
        <v>81</v>
      </c>
      <c r="AK22" s="3" t="s">
        <v>64</v>
      </c>
      <c r="AL22" s="13">
        <f t="shared" si="0"/>
        <v>30</v>
      </c>
      <c r="AM22" s="15">
        <f t="shared" si="1"/>
        <v>100000000</v>
      </c>
      <c r="AN22" s="3">
        <f t="shared" si="2"/>
        <v>3</v>
      </c>
      <c r="AO22" s="3" t="str">
        <f t="shared" si="3"/>
        <v>No</v>
      </c>
      <c r="AP22" s="17">
        <f t="shared" si="4"/>
        <v>0.20277777777777772</v>
      </c>
      <c r="AQ22" s="17">
        <f t="shared" si="5"/>
        <v>9.6712258424139996E-2</v>
      </c>
      <c r="AR22" s="17">
        <f t="shared" si="6"/>
        <v>0.5</v>
      </c>
      <c r="AS22" s="15">
        <f t="shared" si="7"/>
        <v>144333333.33333334</v>
      </c>
      <c r="AT22" s="17">
        <f t="shared" si="8"/>
        <v>0.33256351039260967</v>
      </c>
      <c r="AU22" s="17">
        <f t="shared" si="9"/>
        <v>0.41570438799076215</v>
      </c>
      <c r="AV22" s="15">
        <f t="shared" si="10"/>
        <v>666666666.66666663</v>
      </c>
      <c r="AW22" s="18">
        <f t="shared" si="11"/>
        <v>4.6189376443418015E-2</v>
      </c>
      <c r="AX22" s="27" t="str">
        <f>IF(OR(K22&lt;Outlier_Audit!$H$2,K22&gt;Outlier_Audit!$I$2),"Review","Normal")</f>
        <v>Normal</v>
      </c>
      <c r="AY22" t="str">
        <f t="shared" si="12"/>
        <v>30+ years</v>
      </c>
      <c r="AZ22" t="str">
        <f>IF(AQ22="","Missing",IF(AQ22&gt;=EDA_Performance!$B$7,"High Growth",IF(AQ22&lt;=EDA_Performance!$B$5,"Low Growth","Middle")))</f>
        <v>Middle</v>
      </c>
    </row>
    <row r="23" spans="1:52">
      <c r="A23" s="12">
        <v>1614165</v>
      </c>
      <c r="B23" s="3" t="s">
        <v>49</v>
      </c>
      <c r="C23" s="3" t="s">
        <v>66</v>
      </c>
      <c r="D23" s="13">
        <v>13</v>
      </c>
      <c r="E23" s="13">
        <v>1061</v>
      </c>
      <c r="F23" s="13">
        <v>10</v>
      </c>
      <c r="G23" s="3" t="s">
        <v>51</v>
      </c>
      <c r="H23" s="13">
        <v>2006</v>
      </c>
      <c r="I23" s="13">
        <v>22</v>
      </c>
      <c r="J23" s="14">
        <v>2.7846395969390869</v>
      </c>
      <c r="K23" s="15">
        <v>600000000</v>
      </c>
      <c r="L23" s="15">
        <v>400000000</v>
      </c>
      <c r="M23" s="16">
        <v>90</v>
      </c>
      <c r="N23" s="13">
        <v>7</v>
      </c>
      <c r="O23" s="13">
        <v>8</v>
      </c>
      <c r="P23" s="15">
        <v>62400000</v>
      </c>
      <c r="Q23" s="15">
        <v>40000000</v>
      </c>
      <c r="R23" s="15">
        <v>90000000</v>
      </c>
      <c r="S23" s="16">
        <v>0</v>
      </c>
      <c r="T23" s="3" t="s">
        <v>60</v>
      </c>
      <c r="U23" s="3" t="s">
        <v>52</v>
      </c>
      <c r="V23" s="3" t="s">
        <v>53</v>
      </c>
      <c r="W23" s="16">
        <v>100</v>
      </c>
      <c r="X23" s="16">
        <v>0</v>
      </c>
      <c r="Y23" s="16">
        <v>0</v>
      </c>
      <c r="Z23" s="3" t="s">
        <v>53</v>
      </c>
      <c r="AA23" s="15"/>
      <c r="AB23" s="3" t="s">
        <v>53</v>
      </c>
      <c r="AC23" s="3" t="s">
        <v>52</v>
      </c>
      <c r="AD23" s="3" t="s">
        <v>52</v>
      </c>
      <c r="AE23" s="16">
        <v>3</v>
      </c>
      <c r="AF23" s="3" t="s">
        <v>55</v>
      </c>
      <c r="AG23" s="3" t="s">
        <v>55</v>
      </c>
      <c r="AH23" s="3" t="s">
        <v>67</v>
      </c>
      <c r="AI23" s="3" t="s">
        <v>54</v>
      </c>
      <c r="AJ23" s="3" t="s">
        <v>79</v>
      </c>
      <c r="AK23" s="3" t="s">
        <v>64</v>
      </c>
      <c r="AL23" s="13">
        <f t="shared" si="0"/>
        <v>18</v>
      </c>
      <c r="AM23" s="15">
        <f t="shared" si="1"/>
        <v>0</v>
      </c>
      <c r="AN23" s="3">
        <f t="shared" si="2"/>
        <v>3</v>
      </c>
      <c r="AO23" s="3" t="str">
        <f t="shared" si="3"/>
        <v>No</v>
      </c>
      <c r="AP23" s="17">
        <f t="shared" si="4"/>
        <v>0.5</v>
      </c>
      <c r="AQ23" s="17">
        <f t="shared" si="5"/>
        <v>0.22474487139158894</v>
      </c>
      <c r="AR23" s="17">
        <f t="shared" si="6"/>
        <v>-0.125</v>
      </c>
      <c r="AS23" s="15">
        <f t="shared" si="7"/>
        <v>85714285.714285716</v>
      </c>
      <c r="AT23" s="17">
        <f t="shared" si="8"/>
        <v>0.104</v>
      </c>
      <c r="AU23" s="17">
        <f t="shared" si="9"/>
        <v>6.6666666666666666E-2</v>
      </c>
      <c r="AV23" s="15">
        <f t="shared" si="10"/>
        <v>12857142.857142856</v>
      </c>
      <c r="AW23" s="18">
        <f t="shared" si="11"/>
        <v>0</v>
      </c>
      <c r="AX23" s="27" t="str">
        <f>IF(OR(K23&lt;Outlier_Audit!$H$2,K23&gt;Outlier_Audit!$I$2),"Review","Normal")</f>
        <v>Normal</v>
      </c>
      <c r="AY23" t="str">
        <f t="shared" si="12"/>
        <v>10-19 years</v>
      </c>
      <c r="AZ23" t="str">
        <f>IF(AQ23="","Missing",IF(AQ23&gt;=EDA_Performance!$B$7,"High Growth",IF(AQ23&lt;=EDA_Performance!$B$5,"Low Growth","Middle")))</f>
        <v>Middle</v>
      </c>
    </row>
    <row r="24" spans="1:52">
      <c r="A24" s="12">
        <v>1614170</v>
      </c>
      <c r="B24" s="3" t="s">
        <v>65</v>
      </c>
      <c r="C24" s="3" t="s">
        <v>58</v>
      </c>
      <c r="D24" s="13">
        <v>15</v>
      </c>
      <c r="E24" s="13">
        <v>2511</v>
      </c>
      <c r="F24" s="13">
        <v>25</v>
      </c>
      <c r="G24" s="3" t="s">
        <v>76</v>
      </c>
      <c r="H24" s="13">
        <v>2009</v>
      </c>
      <c r="I24" s="13">
        <v>22</v>
      </c>
      <c r="J24" s="14">
        <v>316.31961059570313</v>
      </c>
      <c r="K24" s="15">
        <v>800000000</v>
      </c>
      <c r="L24" s="15">
        <v>500000000</v>
      </c>
      <c r="M24" s="16">
        <v>90</v>
      </c>
      <c r="N24" s="13">
        <v>15</v>
      </c>
      <c r="O24" s="13">
        <v>7</v>
      </c>
      <c r="P24" s="15">
        <v>25000000</v>
      </c>
      <c r="Q24" s="15"/>
      <c r="R24" s="15"/>
      <c r="S24" s="16">
        <v>20</v>
      </c>
      <c r="T24" s="3" t="s">
        <v>60</v>
      </c>
      <c r="U24" s="3" t="s">
        <v>52</v>
      </c>
      <c r="V24" s="3" t="s">
        <v>53</v>
      </c>
      <c r="W24" s="16">
        <v>60</v>
      </c>
      <c r="X24" s="16">
        <v>20</v>
      </c>
      <c r="Y24" s="16">
        <v>0</v>
      </c>
      <c r="Z24" s="3" t="s">
        <v>53</v>
      </c>
      <c r="AA24" s="15"/>
      <c r="AB24" s="3" t="s">
        <v>52</v>
      </c>
      <c r="AC24" s="3" t="s">
        <v>53</v>
      </c>
      <c r="AD24" s="3" t="s">
        <v>52</v>
      </c>
      <c r="AE24" s="16">
        <v>8</v>
      </c>
      <c r="AF24" s="3" t="s">
        <v>67</v>
      </c>
      <c r="AG24" s="3" t="s">
        <v>62</v>
      </c>
      <c r="AH24" s="3" t="s">
        <v>62</v>
      </c>
      <c r="AI24" s="3" t="s">
        <v>62</v>
      </c>
      <c r="AJ24" s="3" t="s">
        <v>68</v>
      </c>
      <c r="AK24" s="3" t="s">
        <v>57</v>
      </c>
      <c r="AL24" s="13">
        <f t="shared" si="0"/>
        <v>15</v>
      </c>
      <c r="AM24" s="15">
        <f t="shared" si="1"/>
        <v>0</v>
      </c>
      <c r="AN24" s="3">
        <f t="shared" si="2"/>
        <v>8</v>
      </c>
      <c r="AO24" s="3" t="str">
        <f t="shared" si="3"/>
        <v>Yes</v>
      </c>
      <c r="AP24" s="17">
        <f t="shared" si="4"/>
        <v>0.60000000000000009</v>
      </c>
      <c r="AQ24" s="17">
        <f t="shared" si="5"/>
        <v>0.26491106406735176</v>
      </c>
      <c r="AR24" s="17">
        <f t="shared" si="6"/>
        <v>1.1428571428571428</v>
      </c>
      <c r="AS24" s="15">
        <f t="shared" si="7"/>
        <v>53333333.333333336</v>
      </c>
      <c r="AT24" s="17">
        <f t="shared" si="8"/>
        <v>3.125E-2</v>
      </c>
      <c r="AU24" s="17" t="str">
        <f t="shared" si="9"/>
        <v/>
      </c>
      <c r="AV24" s="15" t="str">
        <f t="shared" si="10"/>
        <v/>
      </c>
      <c r="AW24" s="18">
        <f t="shared" si="11"/>
        <v>0</v>
      </c>
      <c r="AX24" s="27" t="str">
        <f>IF(OR(K24&lt;Outlier_Audit!$H$2,K24&gt;Outlier_Audit!$I$2),"Review","Normal")</f>
        <v>Normal</v>
      </c>
      <c r="AY24" t="str">
        <f t="shared" si="12"/>
        <v>10-19 years</v>
      </c>
      <c r="AZ24" t="str">
        <f>IF(AQ24="","Missing",IF(AQ24&gt;=EDA_Performance!$B$7,"High Growth",IF(AQ24&lt;=EDA_Performance!$B$5,"Low Growth","Middle")))</f>
        <v>Middle</v>
      </c>
    </row>
    <row r="25" spans="1:52">
      <c r="A25" s="12">
        <v>1614171</v>
      </c>
      <c r="B25" s="3" t="s">
        <v>49</v>
      </c>
      <c r="C25" s="3" t="s">
        <v>58</v>
      </c>
      <c r="D25" s="13">
        <v>10</v>
      </c>
      <c r="E25" s="13">
        <v>2511</v>
      </c>
      <c r="F25" s="13">
        <v>25</v>
      </c>
      <c r="G25" s="3" t="s">
        <v>76</v>
      </c>
      <c r="H25" s="13">
        <v>2007</v>
      </c>
      <c r="I25" s="13">
        <v>20</v>
      </c>
      <c r="J25" s="14">
        <v>90.165229797363281</v>
      </c>
      <c r="K25" s="15">
        <v>70000000</v>
      </c>
      <c r="L25" s="15">
        <v>10000000</v>
      </c>
      <c r="M25" s="16">
        <v>70</v>
      </c>
      <c r="N25" s="13">
        <v>10</v>
      </c>
      <c r="O25" s="13">
        <v>3</v>
      </c>
      <c r="P25" s="15">
        <v>10000000</v>
      </c>
      <c r="Q25" s="15">
        <v>30000000</v>
      </c>
      <c r="R25" s="15">
        <v>170000000</v>
      </c>
      <c r="S25" s="16">
        <v>0</v>
      </c>
      <c r="T25" s="3" t="s">
        <v>60</v>
      </c>
      <c r="U25" s="3" t="s">
        <v>53</v>
      </c>
      <c r="V25" s="3" t="s">
        <v>53</v>
      </c>
      <c r="W25" s="16">
        <v>90</v>
      </c>
      <c r="X25" s="16">
        <v>0</v>
      </c>
      <c r="Y25" s="16">
        <v>0</v>
      </c>
      <c r="Z25" s="3" t="s">
        <v>53</v>
      </c>
      <c r="AA25" s="15"/>
      <c r="AB25" s="3" t="s">
        <v>53</v>
      </c>
      <c r="AC25" s="3" t="s">
        <v>53</v>
      </c>
      <c r="AD25" s="3" t="s">
        <v>52</v>
      </c>
      <c r="AE25" s="16">
        <v>3</v>
      </c>
      <c r="AF25" s="3" t="s">
        <v>54</v>
      </c>
      <c r="AG25" s="3" t="s">
        <v>62</v>
      </c>
      <c r="AH25" s="3" t="s">
        <v>62</v>
      </c>
      <c r="AI25" s="3" t="s">
        <v>62</v>
      </c>
      <c r="AJ25" s="3" t="s">
        <v>63</v>
      </c>
      <c r="AK25" s="3" t="s">
        <v>64</v>
      </c>
      <c r="AL25" s="13">
        <f t="shared" si="0"/>
        <v>17</v>
      </c>
      <c r="AM25" s="15">
        <f t="shared" si="1"/>
        <v>0</v>
      </c>
      <c r="AN25" s="3">
        <f t="shared" si="2"/>
        <v>3</v>
      </c>
      <c r="AO25" s="3" t="str">
        <f t="shared" si="3"/>
        <v>No</v>
      </c>
      <c r="AP25" s="17">
        <f t="shared" si="4"/>
        <v>6</v>
      </c>
      <c r="AQ25" s="17">
        <f t="shared" si="5"/>
        <v>1.6457513110645907</v>
      </c>
      <c r="AR25" s="17">
        <f t="shared" si="6"/>
        <v>2.3333333333333335</v>
      </c>
      <c r="AS25" s="15">
        <f t="shared" si="7"/>
        <v>7000000</v>
      </c>
      <c r="AT25" s="17">
        <f t="shared" si="8"/>
        <v>0.14285714285714285</v>
      </c>
      <c r="AU25" s="17">
        <f t="shared" si="9"/>
        <v>0.42857142857142855</v>
      </c>
      <c r="AV25" s="15">
        <f t="shared" si="10"/>
        <v>17000000</v>
      </c>
      <c r="AW25" s="18">
        <f t="shared" si="11"/>
        <v>0</v>
      </c>
      <c r="AX25" s="27" t="str">
        <f>IF(OR(K25&lt;Outlier_Audit!$H$2,K25&gt;Outlier_Audit!$I$2),"Review","Normal")</f>
        <v>Normal</v>
      </c>
      <c r="AY25" t="str">
        <f t="shared" si="12"/>
        <v>10-19 years</v>
      </c>
      <c r="AZ25" t="str">
        <f>IF(AQ25="","Missing",IF(AQ25&gt;=EDA_Performance!$B$7,"High Growth",IF(AQ25&lt;=EDA_Performance!$B$5,"Low Growth","Middle")))</f>
        <v>High Growth</v>
      </c>
    </row>
    <row r="26" spans="1:52">
      <c r="A26" s="12">
        <v>1614174</v>
      </c>
      <c r="B26" s="3" t="s">
        <v>80</v>
      </c>
      <c r="C26" s="3" t="s">
        <v>58</v>
      </c>
      <c r="D26" s="13">
        <v>6</v>
      </c>
      <c r="E26" s="13">
        <v>1811</v>
      </c>
      <c r="F26" s="13">
        <v>18</v>
      </c>
      <c r="G26" s="3" t="s">
        <v>72</v>
      </c>
      <c r="H26" s="13">
        <v>1997</v>
      </c>
      <c r="I26" s="13">
        <v>30</v>
      </c>
      <c r="J26" s="14">
        <v>18.668731689453125</v>
      </c>
      <c r="K26" s="15">
        <v>15000000</v>
      </c>
      <c r="L26" s="15">
        <v>12000000</v>
      </c>
      <c r="M26" s="16">
        <v>100</v>
      </c>
      <c r="N26" s="13">
        <v>6</v>
      </c>
      <c r="O26" s="13">
        <v>6</v>
      </c>
      <c r="P26" s="15">
        <v>4000000</v>
      </c>
      <c r="Q26" s="15">
        <v>5000000</v>
      </c>
      <c r="R26" s="15">
        <v>100000000</v>
      </c>
      <c r="S26" s="16">
        <v>0</v>
      </c>
      <c r="T26" s="3" t="s">
        <v>60</v>
      </c>
      <c r="U26" s="3" t="s">
        <v>53</v>
      </c>
      <c r="V26" s="3" t="s">
        <v>53</v>
      </c>
      <c r="W26" s="16">
        <v>50</v>
      </c>
      <c r="X26" s="16">
        <v>50</v>
      </c>
      <c r="Y26" s="16">
        <v>0</v>
      </c>
      <c r="Z26" s="3" t="s">
        <v>53</v>
      </c>
      <c r="AA26" s="15"/>
      <c r="AB26" s="3" t="s">
        <v>53</v>
      </c>
      <c r="AC26" s="3" t="s">
        <v>53</v>
      </c>
      <c r="AD26" s="3" t="s">
        <v>52</v>
      </c>
      <c r="AE26" s="16">
        <v>5</v>
      </c>
      <c r="AF26" s="3" t="s">
        <v>55</v>
      </c>
      <c r="AG26" s="3" t="s">
        <v>67</v>
      </c>
      <c r="AH26" s="3" t="s">
        <v>67</v>
      </c>
      <c r="AI26" s="3" t="s">
        <v>67</v>
      </c>
      <c r="AJ26" s="3" t="s">
        <v>82</v>
      </c>
      <c r="AK26" s="3" t="s">
        <v>57</v>
      </c>
      <c r="AL26" s="13">
        <f t="shared" si="0"/>
        <v>27</v>
      </c>
      <c r="AM26" s="15">
        <f t="shared" si="1"/>
        <v>0</v>
      </c>
      <c r="AN26" s="3">
        <f t="shared" si="2"/>
        <v>5</v>
      </c>
      <c r="AO26" s="3" t="str">
        <f t="shared" si="3"/>
        <v>No</v>
      </c>
      <c r="AP26" s="17">
        <f t="shared" si="4"/>
        <v>0.25</v>
      </c>
      <c r="AQ26" s="17">
        <f t="shared" si="5"/>
        <v>0.1180339887498949</v>
      </c>
      <c r="AR26" s="17">
        <f t="shared" si="6"/>
        <v>0</v>
      </c>
      <c r="AS26" s="15">
        <f t="shared" si="7"/>
        <v>2500000</v>
      </c>
      <c r="AT26" s="17">
        <f t="shared" si="8"/>
        <v>0.26666666666666666</v>
      </c>
      <c r="AU26" s="17">
        <f t="shared" si="9"/>
        <v>0.33333333333333331</v>
      </c>
      <c r="AV26" s="15">
        <f t="shared" si="10"/>
        <v>16666666.666666666</v>
      </c>
      <c r="AW26" s="18">
        <f t="shared" si="11"/>
        <v>0</v>
      </c>
      <c r="AX26" s="27" t="str">
        <f>IF(OR(K26&lt;Outlier_Audit!$H$2,K26&gt;Outlier_Audit!$I$2),"Review","Normal")</f>
        <v>Normal</v>
      </c>
      <c r="AY26" t="str">
        <f t="shared" si="12"/>
        <v>20-29 years</v>
      </c>
      <c r="AZ26" t="str">
        <f>IF(AQ26="","Missing",IF(AQ26&gt;=EDA_Performance!$B$7,"High Growth",IF(AQ26&lt;=EDA_Performance!$B$5,"Low Growth","Middle")))</f>
        <v>Middle</v>
      </c>
    </row>
    <row r="27" spans="1:52">
      <c r="A27" s="12">
        <v>1614175</v>
      </c>
      <c r="B27" s="3" t="s">
        <v>80</v>
      </c>
      <c r="C27" s="3" t="s">
        <v>58</v>
      </c>
      <c r="D27" s="13">
        <v>8</v>
      </c>
      <c r="E27" s="13">
        <v>1811</v>
      </c>
      <c r="F27" s="13">
        <v>18</v>
      </c>
      <c r="G27" s="3" t="s">
        <v>72</v>
      </c>
      <c r="H27" s="13">
        <v>2006</v>
      </c>
      <c r="I27" s="13">
        <v>19</v>
      </c>
      <c r="J27" s="14">
        <v>18.668731689453125</v>
      </c>
      <c r="K27" s="15">
        <v>29430000</v>
      </c>
      <c r="L27" s="15">
        <v>22570000</v>
      </c>
      <c r="M27" s="16">
        <v>70</v>
      </c>
      <c r="N27" s="13">
        <v>4</v>
      </c>
      <c r="O27" s="13">
        <v>4</v>
      </c>
      <c r="P27" s="15">
        <v>8046000</v>
      </c>
      <c r="Q27" s="15">
        <v>17000000</v>
      </c>
      <c r="R27" s="15">
        <v>49570000</v>
      </c>
      <c r="S27" s="16">
        <v>0</v>
      </c>
      <c r="T27" s="3" t="s">
        <v>60</v>
      </c>
      <c r="U27" s="3" t="s">
        <v>53</v>
      </c>
      <c r="V27" s="3" t="s">
        <v>53</v>
      </c>
      <c r="W27" s="16">
        <v>60</v>
      </c>
      <c r="X27" s="16">
        <v>0</v>
      </c>
      <c r="Y27" s="16">
        <v>10</v>
      </c>
      <c r="Z27" s="3" t="s">
        <v>52</v>
      </c>
      <c r="AA27" s="15">
        <v>2460000</v>
      </c>
      <c r="AB27" s="3" t="s">
        <v>53</v>
      </c>
      <c r="AC27" s="3" t="s">
        <v>53</v>
      </c>
      <c r="AD27" s="3" t="s">
        <v>52</v>
      </c>
      <c r="AE27" s="16">
        <v>6</v>
      </c>
      <c r="AF27" s="3" t="s">
        <v>54</v>
      </c>
      <c r="AG27" s="3" t="s">
        <v>67</v>
      </c>
      <c r="AH27" s="3" t="s">
        <v>62</v>
      </c>
      <c r="AI27" s="3" t="s">
        <v>62</v>
      </c>
      <c r="AJ27" s="3" t="s">
        <v>56</v>
      </c>
      <c r="AK27" s="3" t="s">
        <v>75</v>
      </c>
      <c r="AL27" s="13">
        <f t="shared" si="0"/>
        <v>18</v>
      </c>
      <c r="AM27" s="15">
        <f t="shared" si="1"/>
        <v>2460000</v>
      </c>
      <c r="AN27" s="3">
        <f t="shared" si="2"/>
        <v>6</v>
      </c>
      <c r="AO27" s="3" t="str">
        <f t="shared" si="3"/>
        <v>No</v>
      </c>
      <c r="AP27" s="17">
        <f t="shared" si="4"/>
        <v>0.3039432875498449</v>
      </c>
      <c r="AQ27" s="17">
        <f t="shared" si="5"/>
        <v>0.14190336173856899</v>
      </c>
      <c r="AR27" s="17">
        <f t="shared" si="6"/>
        <v>0</v>
      </c>
      <c r="AS27" s="15">
        <f t="shared" si="7"/>
        <v>7357500</v>
      </c>
      <c r="AT27" s="17">
        <f t="shared" si="8"/>
        <v>0.27339449541284405</v>
      </c>
      <c r="AU27" s="17">
        <f t="shared" si="9"/>
        <v>0.57764186204553181</v>
      </c>
      <c r="AV27" s="15">
        <f t="shared" si="10"/>
        <v>12392500</v>
      </c>
      <c r="AW27" s="18">
        <f t="shared" si="11"/>
        <v>8.3588175331294604E-2</v>
      </c>
      <c r="AX27" s="27" t="str">
        <f>IF(OR(K27&lt;Outlier_Audit!$H$2,K27&gt;Outlier_Audit!$I$2),"Review","Normal")</f>
        <v>Normal</v>
      </c>
      <c r="AY27" t="str">
        <f t="shared" si="12"/>
        <v>10-19 years</v>
      </c>
      <c r="AZ27" t="str">
        <f>IF(AQ27="","Missing",IF(AQ27&gt;=EDA_Performance!$B$7,"High Growth",IF(AQ27&lt;=EDA_Performance!$B$5,"Low Growth","Middle")))</f>
        <v>Middle</v>
      </c>
    </row>
    <row r="28" spans="1:52">
      <c r="A28" s="12">
        <v>1614176</v>
      </c>
      <c r="B28" s="3" t="s">
        <v>65</v>
      </c>
      <c r="C28" s="3" t="s">
        <v>50</v>
      </c>
      <c r="D28" s="13">
        <v>100</v>
      </c>
      <c r="E28" s="13">
        <v>3100</v>
      </c>
      <c r="F28" s="13">
        <v>31</v>
      </c>
      <c r="G28" s="3" t="s">
        <v>71</v>
      </c>
      <c r="H28" s="13">
        <v>1987</v>
      </c>
      <c r="I28" s="13">
        <v>30</v>
      </c>
      <c r="J28" s="14">
        <v>2.6891484260559082</v>
      </c>
      <c r="K28" s="15">
        <v>15000000000</v>
      </c>
      <c r="L28" s="15">
        <v>10000000000</v>
      </c>
      <c r="M28" s="16">
        <v>40</v>
      </c>
      <c r="N28" s="13">
        <v>40</v>
      </c>
      <c r="O28" s="13">
        <v>35</v>
      </c>
      <c r="P28" s="15">
        <v>2000000000</v>
      </c>
      <c r="Q28" s="15">
        <v>500000000</v>
      </c>
      <c r="R28" s="15">
        <v>4000000000</v>
      </c>
      <c r="S28" s="16">
        <v>0</v>
      </c>
      <c r="T28" s="3" t="s">
        <v>53</v>
      </c>
      <c r="U28" s="3" t="s">
        <v>53</v>
      </c>
      <c r="V28" s="3" t="s">
        <v>53</v>
      </c>
      <c r="W28" s="16">
        <v>100</v>
      </c>
      <c r="X28" s="16">
        <v>0</v>
      </c>
      <c r="Y28" s="16">
        <v>0</v>
      </c>
      <c r="Z28" s="3" t="s">
        <v>53</v>
      </c>
      <c r="AA28" s="15"/>
      <c r="AB28" s="3" t="s">
        <v>53</v>
      </c>
      <c r="AC28" s="3" t="s">
        <v>53</v>
      </c>
      <c r="AD28" s="3" t="s">
        <v>53</v>
      </c>
      <c r="AE28" s="16"/>
      <c r="AF28" s="3" t="s">
        <v>62</v>
      </c>
      <c r="AG28" s="3" t="s">
        <v>67</v>
      </c>
      <c r="AH28" s="3" t="s">
        <v>62</v>
      </c>
      <c r="AI28" s="3" t="s">
        <v>54</v>
      </c>
      <c r="AJ28" s="3" t="s">
        <v>79</v>
      </c>
      <c r="AK28" s="3" t="s">
        <v>57</v>
      </c>
      <c r="AL28" s="13">
        <f t="shared" si="0"/>
        <v>37</v>
      </c>
      <c r="AM28" s="15">
        <f t="shared" si="1"/>
        <v>0</v>
      </c>
      <c r="AN28" s="3">
        <f t="shared" si="2"/>
        <v>0</v>
      </c>
      <c r="AO28" s="3" t="str">
        <f t="shared" si="3"/>
        <v>No</v>
      </c>
      <c r="AP28" s="17">
        <f t="shared" si="4"/>
        <v>0.5</v>
      </c>
      <c r="AQ28" s="17">
        <f t="shared" si="5"/>
        <v>0.22474487139158894</v>
      </c>
      <c r="AR28" s="17">
        <f t="shared" si="6"/>
        <v>0.14285714285714279</v>
      </c>
      <c r="AS28" s="15">
        <f t="shared" si="7"/>
        <v>375000000</v>
      </c>
      <c r="AT28" s="17">
        <f t="shared" si="8"/>
        <v>0.13333333333333333</v>
      </c>
      <c r="AU28" s="17">
        <f t="shared" si="9"/>
        <v>3.3333333333333333E-2</v>
      </c>
      <c r="AV28" s="15">
        <f t="shared" si="10"/>
        <v>100000000</v>
      </c>
      <c r="AW28" s="18">
        <f t="shared" si="11"/>
        <v>0</v>
      </c>
      <c r="AX28" s="27" t="str">
        <f>IF(OR(K28&lt;Outlier_Audit!$H$2,K28&gt;Outlier_Audit!$I$2),"Review","Normal")</f>
        <v>Review</v>
      </c>
      <c r="AY28" t="str">
        <f t="shared" si="12"/>
        <v>30+ years</v>
      </c>
      <c r="AZ28" t="str">
        <f>IF(AQ28="","Missing",IF(AQ28&gt;=EDA_Performance!$B$7,"High Growth",IF(AQ28&lt;=EDA_Performance!$B$5,"Low Growth","Middle")))</f>
        <v>Middle</v>
      </c>
    </row>
    <row r="29" spans="1:52">
      <c r="A29" s="12">
        <v>1614178</v>
      </c>
      <c r="B29" s="3" t="s">
        <v>65</v>
      </c>
      <c r="C29" s="3" t="s">
        <v>50</v>
      </c>
      <c r="D29" s="13">
        <v>10</v>
      </c>
      <c r="E29" s="13">
        <v>2599</v>
      </c>
      <c r="F29" s="13">
        <v>25</v>
      </c>
      <c r="G29" s="3" t="s">
        <v>76</v>
      </c>
      <c r="H29" s="13">
        <v>1984</v>
      </c>
      <c r="I29" s="13">
        <v>41</v>
      </c>
      <c r="J29" s="14">
        <v>1</v>
      </c>
      <c r="K29" s="15">
        <v>30000000</v>
      </c>
      <c r="L29" s="15">
        <v>40000000</v>
      </c>
      <c r="M29" s="16">
        <v>85</v>
      </c>
      <c r="N29" s="13">
        <v>7</v>
      </c>
      <c r="O29" s="13">
        <v>10</v>
      </c>
      <c r="P29" s="15">
        <v>4000000</v>
      </c>
      <c r="Q29" s="15">
        <v>13000000</v>
      </c>
      <c r="R29" s="15">
        <v>35000000</v>
      </c>
      <c r="S29" s="16">
        <v>0</v>
      </c>
      <c r="T29" s="3" t="s">
        <v>60</v>
      </c>
      <c r="U29" s="3" t="s">
        <v>52</v>
      </c>
      <c r="V29" s="3" t="s">
        <v>53</v>
      </c>
      <c r="W29" s="16">
        <v>70</v>
      </c>
      <c r="X29" s="16">
        <v>30</v>
      </c>
      <c r="Y29" s="16">
        <v>0</v>
      </c>
      <c r="Z29" s="3" t="s">
        <v>53</v>
      </c>
      <c r="AA29" s="15"/>
      <c r="AB29" s="3" t="s">
        <v>52</v>
      </c>
      <c r="AC29" s="3" t="s">
        <v>53</v>
      </c>
      <c r="AD29" s="3" t="s">
        <v>52</v>
      </c>
      <c r="AE29" s="16">
        <v>3</v>
      </c>
      <c r="AF29" s="3" t="s">
        <v>67</v>
      </c>
      <c r="AG29" s="3" t="s">
        <v>67</v>
      </c>
      <c r="AH29" s="3" t="s">
        <v>67</v>
      </c>
      <c r="AI29" s="3" t="s">
        <v>54</v>
      </c>
      <c r="AJ29" s="3" t="s">
        <v>56</v>
      </c>
      <c r="AK29" s="3" t="s">
        <v>64</v>
      </c>
      <c r="AL29" s="13">
        <f t="shared" si="0"/>
        <v>40</v>
      </c>
      <c r="AM29" s="15">
        <f t="shared" si="1"/>
        <v>0</v>
      </c>
      <c r="AN29" s="3">
        <f t="shared" si="2"/>
        <v>3</v>
      </c>
      <c r="AO29" s="3" t="str">
        <f t="shared" si="3"/>
        <v>No</v>
      </c>
      <c r="AP29" s="17">
        <f t="shared" si="4"/>
        <v>-0.25</v>
      </c>
      <c r="AQ29" s="17">
        <f t="shared" si="5"/>
        <v>-0.1339745962155614</v>
      </c>
      <c r="AR29" s="17">
        <f t="shared" si="6"/>
        <v>-0.30000000000000004</v>
      </c>
      <c r="AS29" s="15">
        <f t="shared" si="7"/>
        <v>4285714.2857142854</v>
      </c>
      <c r="AT29" s="17">
        <f t="shared" si="8"/>
        <v>0.13333333333333333</v>
      </c>
      <c r="AU29" s="17">
        <f t="shared" si="9"/>
        <v>0.43333333333333335</v>
      </c>
      <c r="AV29" s="15">
        <f t="shared" si="10"/>
        <v>5000000</v>
      </c>
      <c r="AW29" s="18">
        <f t="shared" si="11"/>
        <v>0</v>
      </c>
      <c r="AX29" s="27" t="str">
        <f>IF(OR(K29&lt;Outlier_Audit!$H$2,K29&gt;Outlier_Audit!$I$2),"Review","Normal")</f>
        <v>Normal</v>
      </c>
      <c r="AY29" t="str">
        <f t="shared" si="12"/>
        <v>30+ years</v>
      </c>
      <c r="AZ29" t="str">
        <f>IF(AQ29="","Missing",IF(AQ29&gt;=EDA_Performance!$B$7,"High Growth",IF(AQ29&lt;=EDA_Performance!$B$5,"Low Growth","Middle")))</f>
        <v>Low Growth</v>
      </c>
    </row>
    <row r="30" spans="1:52">
      <c r="A30" s="12">
        <v>1614179</v>
      </c>
      <c r="B30" s="3" t="s">
        <v>65</v>
      </c>
      <c r="C30" s="3" t="s">
        <v>50</v>
      </c>
      <c r="D30" s="13">
        <v>94</v>
      </c>
      <c r="E30" s="13">
        <v>2395</v>
      </c>
      <c r="F30" s="13">
        <v>23</v>
      </c>
      <c r="G30" s="3" t="s">
        <v>83</v>
      </c>
      <c r="H30" s="13">
        <v>2004</v>
      </c>
      <c r="I30" s="13">
        <v>20</v>
      </c>
      <c r="J30" s="14">
        <v>1.5225752592086792</v>
      </c>
      <c r="K30" s="15">
        <v>2000000000</v>
      </c>
      <c r="L30" s="15">
        <v>1600000000</v>
      </c>
      <c r="M30" s="16">
        <v>76</v>
      </c>
      <c r="N30" s="13">
        <v>92</v>
      </c>
      <c r="O30" s="13">
        <v>76</v>
      </c>
      <c r="P30" s="15"/>
      <c r="Q30" s="15">
        <v>500000000</v>
      </c>
      <c r="R30" s="15">
        <v>1800000000</v>
      </c>
      <c r="S30" s="16">
        <v>0</v>
      </c>
      <c r="T30" s="3" t="s">
        <v>52</v>
      </c>
      <c r="U30" s="3" t="s">
        <v>52</v>
      </c>
      <c r="V30" s="3" t="s">
        <v>52</v>
      </c>
      <c r="W30" s="16">
        <v>100</v>
      </c>
      <c r="X30" s="16">
        <v>0</v>
      </c>
      <c r="Y30" s="16">
        <v>0</v>
      </c>
      <c r="Z30" s="3" t="s">
        <v>52</v>
      </c>
      <c r="AA30" s="15">
        <v>1800000000</v>
      </c>
      <c r="AB30" s="3" t="s">
        <v>53</v>
      </c>
      <c r="AC30" s="3" t="s">
        <v>53</v>
      </c>
      <c r="AD30" s="3" t="s">
        <v>52</v>
      </c>
      <c r="AE30" s="16">
        <v>10</v>
      </c>
      <c r="AF30" s="3" t="s">
        <v>55</v>
      </c>
      <c r="AG30" s="3" t="s">
        <v>67</v>
      </c>
      <c r="AH30" s="3" t="s">
        <v>62</v>
      </c>
      <c r="AI30" s="3" t="s">
        <v>54</v>
      </c>
      <c r="AJ30" s="3" t="s">
        <v>63</v>
      </c>
      <c r="AK30" s="3" t="s">
        <v>64</v>
      </c>
      <c r="AL30" s="13">
        <f t="shared" si="0"/>
        <v>20</v>
      </c>
      <c r="AM30" s="15">
        <f t="shared" si="1"/>
        <v>1800000000</v>
      </c>
      <c r="AN30" s="3">
        <f t="shared" si="2"/>
        <v>10</v>
      </c>
      <c r="AO30" s="3" t="str">
        <f t="shared" si="3"/>
        <v>No</v>
      </c>
      <c r="AP30" s="17">
        <f t="shared" si="4"/>
        <v>0.25</v>
      </c>
      <c r="AQ30" s="17">
        <f t="shared" si="5"/>
        <v>0.1180339887498949</v>
      </c>
      <c r="AR30" s="17">
        <f t="shared" si="6"/>
        <v>0.21052631578947367</v>
      </c>
      <c r="AS30" s="15">
        <f t="shared" si="7"/>
        <v>21739130.434782609</v>
      </c>
      <c r="AT30" s="17" t="str">
        <f t="shared" si="8"/>
        <v/>
      </c>
      <c r="AU30" s="17">
        <f t="shared" si="9"/>
        <v>0.25</v>
      </c>
      <c r="AV30" s="15">
        <f t="shared" si="10"/>
        <v>19565217.391304348</v>
      </c>
      <c r="AW30" s="18">
        <f t="shared" si="11"/>
        <v>0.9</v>
      </c>
      <c r="AX30" s="27" t="str">
        <f>IF(OR(K30&lt;Outlier_Audit!$H$2,K30&gt;Outlier_Audit!$I$2),"Review","Normal")</f>
        <v>Normal</v>
      </c>
      <c r="AY30" t="str">
        <f t="shared" si="12"/>
        <v>20-29 years</v>
      </c>
      <c r="AZ30" t="str">
        <f>IF(AQ30="","Missing",IF(AQ30&gt;=EDA_Performance!$B$7,"High Growth",IF(AQ30&lt;=EDA_Performance!$B$5,"Low Growth","Middle")))</f>
        <v>Middle</v>
      </c>
    </row>
    <row r="31" spans="1:52">
      <c r="A31" s="12">
        <v>1614180</v>
      </c>
      <c r="B31" s="3" t="s">
        <v>74</v>
      </c>
      <c r="C31" s="3" t="s">
        <v>66</v>
      </c>
      <c r="D31" s="13">
        <v>30</v>
      </c>
      <c r="E31" s="13">
        <v>1071</v>
      </c>
      <c r="F31" s="13">
        <v>10</v>
      </c>
      <c r="G31" s="3" t="s">
        <v>51</v>
      </c>
      <c r="H31" s="13">
        <v>2000</v>
      </c>
      <c r="I31" s="13">
        <v>30</v>
      </c>
      <c r="J31" s="14">
        <v>1.90281081199646</v>
      </c>
      <c r="K31" s="15">
        <v>800000000</v>
      </c>
      <c r="L31" s="15">
        <v>760000000</v>
      </c>
      <c r="M31" s="16">
        <v>10</v>
      </c>
      <c r="N31" s="13">
        <v>25</v>
      </c>
      <c r="O31" s="13">
        <v>27</v>
      </c>
      <c r="P31" s="15">
        <v>30000000</v>
      </c>
      <c r="Q31" s="15">
        <v>450000000</v>
      </c>
      <c r="R31" s="15">
        <v>400000000</v>
      </c>
      <c r="S31" s="16">
        <v>0</v>
      </c>
      <c r="T31" s="3" t="s">
        <v>52</v>
      </c>
      <c r="U31" s="3" t="s">
        <v>52</v>
      </c>
      <c r="V31" s="3" t="s">
        <v>52</v>
      </c>
      <c r="W31" s="16">
        <v>70</v>
      </c>
      <c r="X31" s="16">
        <v>0</v>
      </c>
      <c r="Y31" s="16">
        <v>30</v>
      </c>
      <c r="Z31" s="3" t="s">
        <v>52</v>
      </c>
      <c r="AA31" s="15">
        <v>200000000</v>
      </c>
      <c r="AB31" s="3" t="s">
        <v>53</v>
      </c>
      <c r="AC31" s="3" t="s">
        <v>53</v>
      </c>
      <c r="AD31" s="3" t="s">
        <v>52</v>
      </c>
      <c r="AE31" s="16">
        <v>0</v>
      </c>
      <c r="AF31" s="3" t="s">
        <v>54</v>
      </c>
      <c r="AG31" s="3" t="s">
        <v>54</v>
      </c>
      <c r="AH31" s="3" t="s">
        <v>55</v>
      </c>
      <c r="AI31" s="3" t="s">
        <v>54</v>
      </c>
      <c r="AJ31" s="3" t="s">
        <v>68</v>
      </c>
      <c r="AK31" s="3" t="s">
        <v>75</v>
      </c>
      <c r="AL31" s="13">
        <f t="shared" si="0"/>
        <v>24</v>
      </c>
      <c r="AM31" s="15">
        <f t="shared" si="1"/>
        <v>200000000</v>
      </c>
      <c r="AN31" s="3">
        <f t="shared" si="2"/>
        <v>0</v>
      </c>
      <c r="AO31" s="3" t="str">
        <f t="shared" si="3"/>
        <v>No</v>
      </c>
      <c r="AP31" s="17">
        <f t="shared" si="4"/>
        <v>5.2631578947368363E-2</v>
      </c>
      <c r="AQ31" s="17">
        <f t="shared" si="5"/>
        <v>2.5978352085153977E-2</v>
      </c>
      <c r="AR31" s="17">
        <f t="shared" si="6"/>
        <v>-7.407407407407407E-2</v>
      </c>
      <c r="AS31" s="15">
        <f t="shared" si="7"/>
        <v>32000000</v>
      </c>
      <c r="AT31" s="17">
        <f t="shared" si="8"/>
        <v>3.7499999999999999E-2</v>
      </c>
      <c r="AU31" s="17">
        <f t="shared" si="9"/>
        <v>0.5625</v>
      </c>
      <c r="AV31" s="15">
        <f t="shared" si="10"/>
        <v>16000000</v>
      </c>
      <c r="AW31" s="18">
        <f t="shared" si="11"/>
        <v>0.25</v>
      </c>
      <c r="AX31" s="27" t="str">
        <f>IF(OR(K31&lt;Outlier_Audit!$H$2,K31&gt;Outlier_Audit!$I$2),"Review","Normal")</f>
        <v>Normal</v>
      </c>
      <c r="AY31" t="str">
        <f t="shared" si="12"/>
        <v>20-29 years</v>
      </c>
      <c r="AZ31" t="str">
        <f>IF(AQ31="","Missing",IF(AQ31&gt;=EDA_Performance!$B$7,"High Growth",IF(AQ31&lt;=EDA_Performance!$B$5,"Low Growth","Middle")))</f>
        <v>Low Growth</v>
      </c>
    </row>
    <row r="32" spans="1:52">
      <c r="A32" s="12">
        <v>1614182</v>
      </c>
      <c r="B32" s="3" t="s">
        <v>65</v>
      </c>
      <c r="C32" s="3" t="s">
        <v>58</v>
      </c>
      <c r="D32" s="13">
        <v>15</v>
      </c>
      <c r="E32" s="13">
        <v>2819</v>
      </c>
      <c r="F32" s="13">
        <v>28</v>
      </c>
      <c r="G32" s="3" t="s">
        <v>84</v>
      </c>
      <c r="H32" s="13">
        <v>2001</v>
      </c>
      <c r="I32" s="13">
        <v>15</v>
      </c>
      <c r="J32" s="14">
        <v>143.61814880371094</v>
      </c>
      <c r="K32" s="15"/>
      <c r="L32" s="15"/>
      <c r="M32" s="16">
        <v>60</v>
      </c>
      <c r="N32" s="13">
        <v>20</v>
      </c>
      <c r="O32" s="13">
        <v>15</v>
      </c>
      <c r="P32" s="15"/>
      <c r="Q32" s="15"/>
      <c r="R32" s="15"/>
      <c r="S32" s="16">
        <v>0</v>
      </c>
      <c r="T32" s="3" t="s">
        <v>60</v>
      </c>
      <c r="U32" s="3" t="s">
        <v>53</v>
      </c>
      <c r="V32" s="3" t="s">
        <v>53</v>
      </c>
      <c r="W32" s="16">
        <v>100</v>
      </c>
      <c r="X32" s="16">
        <v>0</v>
      </c>
      <c r="Y32" s="16">
        <v>0</v>
      </c>
      <c r="Z32" s="3" t="s">
        <v>52</v>
      </c>
      <c r="AA32" s="15">
        <v>0</v>
      </c>
      <c r="AB32" s="3" t="s">
        <v>53</v>
      </c>
      <c r="AC32" s="3" t="s">
        <v>53</v>
      </c>
      <c r="AD32" s="3" t="s">
        <v>52</v>
      </c>
      <c r="AE32" s="16">
        <v>8</v>
      </c>
      <c r="AF32" s="3" t="s">
        <v>61</v>
      </c>
      <c r="AG32" s="3" t="s">
        <v>61</v>
      </c>
      <c r="AH32" s="3" t="s">
        <v>62</v>
      </c>
      <c r="AI32" s="3" t="s">
        <v>61</v>
      </c>
      <c r="AJ32" s="3" t="s">
        <v>70</v>
      </c>
      <c r="AK32" s="3" t="s">
        <v>85</v>
      </c>
      <c r="AL32" s="13">
        <f t="shared" si="0"/>
        <v>23</v>
      </c>
      <c r="AM32" s="15">
        <f t="shared" si="1"/>
        <v>0</v>
      </c>
      <c r="AN32" s="3">
        <f t="shared" si="2"/>
        <v>8</v>
      </c>
      <c r="AO32" s="3" t="str">
        <f t="shared" si="3"/>
        <v>No</v>
      </c>
      <c r="AP32" s="17" t="str">
        <f t="shared" si="4"/>
        <v/>
      </c>
      <c r="AQ32" s="17" t="str">
        <f t="shared" si="5"/>
        <v/>
      </c>
      <c r="AR32" s="17">
        <f t="shared" si="6"/>
        <v>0.33333333333333326</v>
      </c>
      <c r="AS32" s="15" t="str">
        <f t="shared" si="7"/>
        <v/>
      </c>
      <c r="AT32" s="17" t="str">
        <f t="shared" si="8"/>
        <v/>
      </c>
      <c r="AU32" s="17" t="str">
        <f t="shared" si="9"/>
        <v/>
      </c>
      <c r="AV32" s="15" t="str">
        <f t="shared" si="10"/>
        <v/>
      </c>
      <c r="AW32" s="18" t="str">
        <f t="shared" si="11"/>
        <v/>
      </c>
      <c r="AX32" s="27" t="str">
        <f>IF(OR(K32&lt;Outlier_Audit!$H$2,K32&gt;Outlier_Audit!$I$2),"Review","Normal")</f>
        <v>Normal</v>
      </c>
      <c r="AY32" t="str">
        <f t="shared" si="12"/>
        <v>20-29 years</v>
      </c>
      <c r="AZ32" t="str">
        <f>IF(AQ32="","Missing",IF(AQ32&gt;=EDA_Performance!$B$7,"High Growth",IF(AQ32&lt;=EDA_Performance!$B$5,"Low Growth","Middle")))</f>
        <v>Missing</v>
      </c>
    </row>
    <row r="33" spans="1:52">
      <c r="A33" s="12">
        <v>1614183</v>
      </c>
      <c r="B33" s="3" t="s">
        <v>74</v>
      </c>
      <c r="C33" s="3" t="s">
        <v>66</v>
      </c>
      <c r="D33" s="13">
        <v>12</v>
      </c>
      <c r="E33" s="13">
        <v>1071</v>
      </c>
      <c r="F33" s="13">
        <v>10</v>
      </c>
      <c r="G33" s="3" t="s">
        <v>51</v>
      </c>
      <c r="H33" s="13">
        <v>2015</v>
      </c>
      <c r="I33" s="13">
        <v>10</v>
      </c>
      <c r="J33" s="14">
        <v>1.5243005752563477</v>
      </c>
      <c r="K33" s="15">
        <v>217920000</v>
      </c>
      <c r="L33" s="15"/>
      <c r="M33" s="16">
        <v>2</v>
      </c>
      <c r="N33" s="13">
        <v>12</v>
      </c>
      <c r="O33" s="13">
        <v>24</v>
      </c>
      <c r="P33" s="15">
        <v>36950400</v>
      </c>
      <c r="Q33" s="15">
        <v>172800000</v>
      </c>
      <c r="R33" s="15">
        <v>6000000</v>
      </c>
      <c r="S33" s="16">
        <v>0</v>
      </c>
      <c r="T33" s="3" t="s">
        <v>60</v>
      </c>
      <c r="U33" s="3" t="s">
        <v>52</v>
      </c>
      <c r="V33" s="3" t="s">
        <v>52</v>
      </c>
      <c r="W33" s="16">
        <v>80</v>
      </c>
      <c r="X33" s="16">
        <v>0</v>
      </c>
      <c r="Y33" s="16">
        <v>20</v>
      </c>
      <c r="Z33" s="3" t="s">
        <v>53</v>
      </c>
      <c r="AA33" s="15"/>
      <c r="AB33" s="3" t="s">
        <v>53</v>
      </c>
      <c r="AC33" s="3" t="s">
        <v>53</v>
      </c>
      <c r="AD33" s="3" t="s">
        <v>52</v>
      </c>
      <c r="AE33" s="16">
        <v>4</v>
      </c>
      <c r="AF33" s="3" t="s">
        <v>67</v>
      </c>
      <c r="AG33" s="3" t="s">
        <v>61</v>
      </c>
      <c r="AH33" s="3" t="s">
        <v>62</v>
      </c>
      <c r="AI33" s="3" t="s">
        <v>62</v>
      </c>
      <c r="AJ33" s="3" t="s">
        <v>70</v>
      </c>
      <c r="AK33" s="3" t="s">
        <v>75</v>
      </c>
      <c r="AL33" s="13">
        <f t="shared" si="0"/>
        <v>9</v>
      </c>
      <c r="AM33" s="15">
        <f t="shared" si="1"/>
        <v>0</v>
      </c>
      <c r="AN33" s="3">
        <f t="shared" si="2"/>
        <v>4</v>
      </c>
      <c r="AO33" s="3" t="str">
        <f t="shared" si="3"/>
        <v>No</v>
      </c>
      <c r="AP33" s="17" t="str">
        <f t="shared" si="4"/>
        <v/>
      </c>
      <c r="AQ33" s="17" t="str">
        <f t="shared" si="5"/>
        <v/>
      </c>
      <c r="AR33" s="17">
        <f t="shared" si="6"/>
        <v>-0.5</v>
      </c>
      <c r="AS33" s="15">
        <f t="shared" si="7"/>
        <v>18160000</v>
      </c>
      <c r="AT33" s="17">
        <f t="shared" si="8"/>
        <v>0.16955947136563876</v>
      </c>
      <c r="AU33" s="17">
        <f t="shared" si="9"/>
        <v>0.79295154185022021</v>
      </c>
      <c r="AV33" s="15">
        <f t="shared" si="10"/>
        <v>500000</v>
      </c>
      <c r="AW33" s="18">
        <f t="shared" si="11"/>
        <v>0</v>
      </c>
      <c r="AX33" s="27" t="str">
        <f>IF(OR(K33&lt;Outlier_Audit!$H$2,K33&gt;Outlier_Audit!$I$2),"Review","Normal")</f>
        <v>Normal</v>
      </c>
      <c r="AY33" t="str">
        <f t="shared" si="12"/>
        <v>&lt;10 years</v>
      </c>
      <c r="AZ33" t="str">
        <f>IF(AQ33="","Missing",IF(AQ33&gt;=EDA_Performance!$B$7,"High Growth",IF(AQ33&lt;=EDA_Performance!$B$5,"Low Growth","Middle")))</f>
        <v>Missing</v>
      </c>
    </row>
    <row r="34" spans="1:52">
      <c r="A34" s="12">
        <v>1614185</v>
      </c>
      <c r="B34" s="3" t="s">
        <v>65</v>
      </c>
      <c r="C34" s="3" t="s">
        <v>58</v>
      </c>
      <c r="D34" s="13">
        <v>7</v>
      </c>
      <c r="E34" s="13">
        <v>1811</v>
      </c>
      <c r="F34" s="13">
        <v>18</v>
      </c>
      <c r="G34" s="3" t="s">
        <v>72</v>
      </c>
      <c r="H34" s="13">
        <v>2000</v>
      </c>
      <c r="I34" s="13">
        <v>14</v>
      </c>
      <c r="J34" s="14">
        <v>157.86735534667969</v>
      </c>
      <c r="K34" s="15">
        <v>30000000</v>
      </c>
      <c r="L34" s="15">
        <v>20000000</v>
      </c>
      <c r="M34" s="16">
        <v>90</v>
      </c>
      <c r="N34" s="13">
        <v>8</v>
      </c>
      <c r="O34" s="13">
        <v>2</v>
      </c>
      <c r="P34" s="15">
        <v>10000000</v>
      </c>
      <c r="Q34" s="15">
        <v>15000000</v>
      </c>
      <c r="R34" s="15">
        <v>40000000</v>
      </c>
      <c r="S34" s="16">
        <v>0</v>
      </c>
      <c r="T34" s="3" t="s">
        <v>60</v>
      </c>
      <c r="U34" s="3" t="s">
        <v>53</v>
      </c>
      <c r="V34" s="3" t="s">
        <v>53</v>
      </c>
      <c r="W34" s="16">
        <v>20</v>
      </c>
      <c r="X34" s="16">
        <v>0</v>
      </c>
      <c r="Y34" s="16">
        <v>70</v>
      </c>
      <c r="Z34" s="3" t="s">
        <v>53</v>
      </c>
      <c r="AA34" s="15"/>
      <c r="AB34" s="3" t="s">
        <v>53</v>
      </c>
      <c r="AC34" s="3" t="s">
        <v>53</v>
      </c>
      <c r="AD34" s="3" t="s">
        <v>53</v>
      </c>
      <c r="AE34" s="16"/>
      <c r="AF34" s="3" t="s">
        <v>67</v>
      </c>
      <c r="AG34" s="3" t="s">
        <v>67</v>
      </c>
      <c r="AH34" s="3" t="s">
        <v>67</v>
      </c>
      <c r="AI34" s="3" t="s">
        <v>62</v>
      </c>
      <c r="AJ34" s="3" t="s">
        <v>56</v>
      </c>
      <c r="AK34" s="3" t="s">
        <v>57</v>
      </c>
      <c r="AL34" s="13">
        <f t="shared" si="0"/>
        <v>24</v>
      </c>
      <c r="AM34" s="15">
        <f t="shared" si="1"/>
        <v>0</v>
      </c>
      <c r="AN34" s="3">
        <f t="shared" si="2"/>
        <v>0</v>
      </c>
      <c r="AO34" s="3" t="str">
        <f t="shared" si="3"/>
        <v>No</v>
      </c>
      <c r="AP34" s="17">
        <f t="shared" si="4"/>
        <v>0.5</v>
      </c>
      <c r="AQ34" s="17">
        <f t="shared" si="5"/>
        <v>0.22474487139158894</v>
      </c>
      <c r="AR34" s="17">
        <f t="shared" si="6"/>
        <v>3</v>
      </c>
      <c r="AS34" s="15">
        <f t="shared" si="7"/>
        <v>3750000</v>
      </c>
      <c r="AT34" s="17">
        <f t="shared" si="8"/>
        <v>0.33333333333333331</v>
      </c>
      <c r="AU34" s="17">
        <f t="shared" si="9"/>
        <v>0.5</v>
      </c>
      <c r="AV34" s="15">
        <f t="shared" si="10"/>
        <v>5000000</v>
      </c>
      <c r="AW34" s="18">
        <f t="shared" si="11"/>
        <v>0</v>
      </c>
      <c r="AX34" s="27" t="str">
        <f>IF(OR(K34&lt;Outlier_Audit!$H$2,K34&gt;Outlier_Audit!$I$2),"Review","Normal")</f>
        <v>Normal</v>
      </c>
      <c r="AY34" t="str">
        <f t="shared" si="12"/>
        <v>20-29 years</v>
      </c>
      <c r="AZ34" t="str">
        <f>IF(AQ34="","Missing",IF(AQ34&gt;=EDA_Performance!$B$7,"High Growth",IF(AQ34&lt;=EDA_Performance!$B$5,"Low Growth","Middle")))</f>
        <v>Middle</v>
      </c>
    </row>
    <row r="35" spans="1:52">
      <c r="A35" s="12">
        <v>1614193</v>
      </c>
      <c r="B35" s="3" t="s">
        <v>49</v>
      </c>
      <c r="C35" s="3" t="s">
        <v>50</v>
      </c>
      <c r="D35" s="13">
        <v>300</v>
      </c>
      <c r="E35" s="13">
        <v>1061</v>
      </c>
      <c r="F35" s="13">
        <v>10</v>
      </c>
      <c r="G35" s="3" t="s">
        <v>51</v>
      </c>
      <c r="H35" s="13">
        <v>2009</v>
      </c>
      <c r="I35" s="13">
        <v>30</v>
      </c>
      <c r="J35" s="14">
        <v>1</v>
      </c>
      <c r="K35" s="15">
        <v>1200000000</v>
      </c>
      <c r="L35" s="15">
        <v>1000000000</v>
      </c>
      <c r="M35" s="16">
        <v>60</v>
      </c>
      <c r="N35" s="13">
        <v>300</v>
      </c>
      <c r="O35" s="13">
        <v>250</v>
      </c>
      <c r="P35" s="15">
        <v>200000000</v>
      </c>
      <c r="Q35" s="15">
        <v>500000000</v>
      </c>
      <c r="R35" s="15">
        <v>600000000</v>
      </c>
      <c r="S35" s="16">
        <v>30</v>
      </c>
      <c r="T35" s="3" t="s">
        <v>52</v>
      </c>
      <c r="U35" s="3" t="s">
        <v>53</v>
      </c>
      <c r="V35" s="3" t="s">
        <v>52</v>
      </c>
      <c r="W35" s="16">
        <v>60</v>
      </c>
      <c r="X35" s="16">
        <v>40</v>
      </c>
      <c r="Y35" s="16">
        <v>0</v>
      </c>
      <c r="Z35" s="3" t="s">
        <v>53</v>
      </c>
      <c r="AA35" s="15"/>
      <c r="AB35" s="3" t="s">
        <v>53</v>
      </c>
      <c r="AC35" s="3" t="s">
        <v>53</v>
      </c>
      <c r="AD35" s="3" t="s">
        <v>52</v>
      </c>
      <c r="AE35" s="16">
        <v>2</v>
      </c>
      <c r="AF35" s="3" t="s">
        <v>54</v>
      </c>
      <c r="AG35" s="3" t="s">
        <v>54</v>
      </c>
      <c r="AH35" s="3" t="s">
        <v>67</v>
      </c>
      <c r="AI35" s="3" t="s">
        <v>67</v>
      </c>
      <c r="AJ35" s="3" t="s">
        <v>56</v>
      </c>
      <c r="AK35" s="3" t="s">
        <v>57</v>
      </c>
      <c r="AL35" s="13">
        <f t="shared" si="0"/>
        <v>15</v>
      </c>
      <c r="AM35" s="15">
        <f t="shared" si="1"/>
        <v>0</v>
      </c>
      <c r="AN35" s="3">
        <f t="shared" si="2"/>
        <v>2</v>
      </c>
      <c r="AO35" s="3" t="str">
        <f t="shared" si="3"/>
        <v>Yes</v>
      </c>
      <c r="AP35" s="17">
        <f t="shared" si="4"/>
        <v>0.19999999999999996</v>
      </c>
      <c r="AQ35" s="17">
        <f t="shared" si="5"/>
        <v>9.5445115010332149E-2</v>
      </c>
      <c r="AR35" s="17">
        <f t="shared" si="6"/>
        <v>0.19999999999999996</v>
      </c>
      <c r="AS35" s="15">
        <f t="shared" si="7"/>
        <v>4000000</v>
      </c>
      <c r="AT35" s="17">
        <f t="shared" si="8"/>
        <v>0.16666666666666666</v>
      </c>
      <c r="AU35" s="17">
        <f t="shared" si="9"/>
        <v>0.41666666666666669</v>
      </c>
      <c r="AV35" s="15">
        <f t="shared" si="10"/>
        <v>2000000</v>
      </c>
      <c r="AW35" s="18">
        <f t="shared" si="11"/>
        <v>0</v>
      </c>
      <c r="AX35" s="27" t="str">
        <f>IF(OR(K35&lt;Outlier_Audit!$H$2,K35&gt;Outlier_Audit!$I$2),"Review","Normal")</f>
        <v>Normal</v>
      </c>
      <c r="AY35" t="str">
        <f t="shared" si="12"/>
        <v>10-19 years</v>
      </c>
      <c r="AZ35" t="str">
        <f>IF(AQ35="","Missing",IF(AQ35&gt;=EDA_Performance!$B$7,"High Growth",IF(AQ35&lt;=EDA_Performance!$B$5,"Low Growth","Middle")))</f>
        <v>Middle</v>
      </c>
    </row>
    <row r="36" spans="1:52">
      <c r="A36" s="12">
        <v>1614202</v>
      </c>
      <c r="B36" s="3" t="s">
        <v>74</v>
      </c>
      <c r="C36" s="3" t="s">
        <v>58</v>
      </c>
      <c r="D36" s="13">
        <v>5</v>
      </c>
      <c r="E36" s="13">
        <v>2511</v>
      </c>
      <c r="F36" s="13">
        <v>25</v>
      </c>
      <c r="G36" s="3" t="s">
        <v>76</v>
      </c>
      <c r="H36" s="13">
        <v>1996</v>
      </c>
      <c r="I36" s="13">
        <v>40</v>
      </c>
      <c r="J36" s="14">
        <v>68.626060485839844</v>
      </c>
      <c r="K36" s="15">
        <v>12000000</v>
      </c>
      <c r="L36" s="15"/>
      <c r="M36" s="16"/>
      <c r="N36" s="13">
        <v>5</v>
      </c>
      <c r="O36" s="13">
        <v>6</v>
      </c>
      <c r="P36" s="15"/>
      <c r="Q36" s="15"/>
      <c r="R36" s="15">
        <v>2500000</v>
      </c>
      <c r="S36" s="16">
        <v>0</v>
      </c>
      <c r="T36" s="3" t="s">
        <v>60</v>
      </c>
      <c r="U36" s="3" t="s">
        <v>52</v>
      </c>
      <c r="V36" s="3" t="s">
        <v>53</v>
      </c>
      <c r="W36" s="16">
        <v>20</v>
      </c>
      <c r="X36" s="16">
        <v>0</v>
      </c>
      <c r="Y36" s="16">
        <v>80</v>
      </c>
      <c r="Z36" s="3" t="s">
        <v>53</v>
      </c>
      <c r="AA36" s="15"/>
      <c r="AB36" s="3" t="s">
        <v>53</v>
      </c>
      <c r="AC36" s="3" t="s">
        <v>53</v>
      </c>
      <c r="AD36" s="3"/>
      <c r="AE36" s="16"/>
      <c r="AF36" s="3" t="s">
        <v>55</v>
      </c>
      <c r="AG36" s="3" t="s">
        <v>54</v>
      </c>
      <c r="AH36" s="3" t="s">
        <v>67</v>
      </c>
      <c r="AI36" s="3" t="s">
        <v>55</v>
      </c>
      <c r="AJ36" s="3" t="s">
        <v>86</v>
      </c>
      <c r="AK36" s="3" t="s">
        <v>75</v>
      </c>
      <c r="AL36" s="13">
        <f t="shared" si="0"/>
        <v>28</v>
      </c>
      <c r="AM36" s="15">
        <f t="shared" si="1"/>
        <v>0</v>
      </c>
      <c r="AN36" s="3" t="str">
        <f t="shared" si="2"/>
        <v/>
      </c>
      <c r="AO36" s="3" t="str">
        <f t="shared" si="3"/>
        <v>No</v>
      </c>
      <c r="AP36" s="17" t="str">
        <f t="shared" si="4"/>
        <v/>
      </c>
      <c r="AQ36" s="17" t="str">
        <f t="shared" si="5"/>
        <v/>
      </c>
      <c r="AR36" s="17">
        <f t="shared" si="6"/>
        <v>-0.16666666666666663</v>
      </c>
      <c r="AS36" s="15">
        <f t="shared" si="7"/>
        <v>2400000</v>
      </c>
      <c r="AT36" s="17" t="str">
        <f t="shared" si="8"/>
        <v/>
      </c>
      <c r="AU36" s="17" t="str">
        <f t="shared" si="9"/>
        <v/>
      </c>
      <c r="AV36" s="15">
        <f t="shared" si="10"/>
        <v>500000</v>
      </c>
      <c r="AW36" s="18">
        <f t="shared" si="11"/>
        <v>0</v>
      </c>
      <c r="AX36" s="27" t="str">
        <f>IF(OR(K36&lt;Outlier_Audit!$H$2,K36&gt;Outlier_Audit!$I$2),"Review","Normal")</f>
        <v>Normal</v>
      </c>
      <c r="AY36" t="str">
        <f t="shared" si="12"/>
        <v>20-29 years</v>
      </c>
      <c r="AZ36" t="str">
        <f>IF(AQ36="","Missing",IF(AQ36&gt;=EDA_Performance!$B$7,"High Growth",IF(AQ36&lt;=EDA_Performance!$B$5,"Low Growth","Middle")))</f>
        <v>Missing</v>
      </c>
    </row>
    <row r="37" spans="1:52">
      <c r="A37" s="12">
        <v>1614203</v>
      </c>
      <c r="B37" s="3" t="s">
        <v>65</v>
      </c>
      <c r="C37" s="3" t="s">
        <v>50</v>
      </c>
      <c r="D37" s="13">
        <v>55</v>
      </c>
      <c r="E37" s="13">
        <v>2599</v>
      </c>
      <c r="F37" s="13">
        <v>25</v>
      </c>
      <c r="G37" s="3" t="s">
        <v>76</v>
      </c>
      <c r="H37" s="13">
        <v>1956</v>
      </c>
      <c r="I37" s="13">
        <v>50</v>
      </c>
      <c r="J37" s="14">
        <v>1</v>
      </c>
      <c r="K37" s="15">
        <v>750000000</v>
      </c>
      <c r="L37" s="15">
        <v>500000000</v>
      </c>
      <c r="M37" s="16">
        <v>65</v>
      </c>
      <c r="N37" s="13">
        <v>53</v>
      </c>
      <c r="O37" s="13">
        <v>65</v>
      </c>
      <c r="P37" s="15">
        <v>50000000</v>
      </c>
      <c r="Q37" s="15">
        <v>300000000</v>
      </c>
      <c r="R37" s="15">
        <v>350000000</v>
      </c>
      <c r="S37" s="16">
        <v>0</v>
      </c>
      <c r="T37" s="3" t="s">
        <v>52</v>
      </c>
      <c r="U37" s="3" t="s">
        <v>52</v>
      </c>
      <c r="V37" s="3" t="s">
        <v>53</v>
      </c>
      <c r="W37" s="16">
        <v>70</v>
      </c>
      <c r="X37" s="16">
        <v>0</v>
      </c>
      <c r="Y37" s="16">
        <v>0</v>
      </c>
      <c r="Z37" s="3" t="s">
        <v>53</v>
      </c>
      <c r="AA37" s="15"/>
      <c r="AB37" s="3" t="s">
        <v>53</v>
      </c>
      <c r="AC37" s="3" t="s">
        <v>53</v>
      </c>
      <c r="AD37" s="3" t="s">
        <v>52</v>
      </c>
      <c r="AE37" s="16">
        <v>4</v>
      </c>
      <c r="AF37" s="3" t="s">
        <v>54</v>
      </c>
      <c r="AG37" s="3" t="s">
        <v>54</v>
      </c>
      <c r="AH37" s="3" t="s">
        <v>67</v>
      </c>
      <c r="AI37" s="3" t="s">
        <v>54</v>
      </c>
      <c r="AJ37" s="3" t="s">
        <v>56</v>
      </c>
      <c r="AK37" s="3" t="s">
        <v>64</v>
      </c>
      <c r="AL37" s="13">
        <f t="shared" si="0"/>
        <v>68</v>
      </c>
      <c r="AM37" s="15">
        <f t="shared" si="1"/>
        <v>0</v>
      </c>
      <c r="AN37" s="3">
        <f t="shared" si="2"/>
        <v>4</v>
      </c>
      <c r="AO37" s="3" t="str">
        <f t="shared" si="3"/>
        <v>No</v>
      </c>
      <c r="AP37" s="17">
        <f t="shared" si="4"/>
        <v>0.5</v>
      </c>
      <c r="AQ37" s="17">
        <f t="shared" si="5"/>
        <v>0.22474487139158894</v>
      </c>
      <c r="AR37" s="17">
        <f t="shared" si="6"/>
        <v>-0.18461538461538463</v>
      </c>
      <c r="AS37" s="15">
        <f t="shared" si="7"/>
        <v>14150943.396226415</v>
      </c>
      <c r="AT37" s="17">
        <f t="shared" si="8"/>
        <v>6.6666666666666666E-2</v>
      </c>
      <c r="AU37" s="17">
        <f t="shared" si="9"/>
        <v>0.4</v>
      </c>
      <c r="AV37" s="15">
        <f t="shared" si="10"/>
        <v>6603773.5849056607</v>
      </c>
      <c r="AW37" s="18">
        <f t="shared" si="11"/>
        <v>0</v>
      </c>
      <c r="AX37" s="27" t="str">
        <f>IF(OR(K37&lt;Outlier_Audit!$H$2,K37&gt;Outlier_Audit!$I$2),"Review","Normal")</f>
        <v>Normal</v>
      </c>
      <c r="AY37" t="str">
        <f t="shared" si="12"/>
        <v>30+ years</v>
      </c>
      <c r="AZ37" t="str">
        <f>IF(AQ37="","Missing",IF(AQ37&gt;=EDA_Performance!$B$7,"High Growth",IF(AQ37&lt;=EDA_Performance!$B$5,"Low Growth","Middle")))</f>
        <v>Middle</v>
      </c>
    </row>
    <row r="38" spans="1:52">
      <c r="A38" s="12">
        <v>1614206</v>
      </c>
      <c r="B38" s="3" t="s">
        <v>80</v>
      </c>
      <c r="C38" s="3" t="s">
        <v>66</v>
      </c>
      <c r="D38" s="13">
        <v>6</v>
      </c>
      <c r="E38" s="13">
        <v>1811</v>
      </c>
      <c r="F38" s="13">
        <v>18</v>
      </c>
      <c r="G38" s="3" t="s">
        <v>72</v>
      </c>
      <c r="H38" s="13">
        <v>2010</v>
      </c>
      <c r="I38" s="13">
        <v>12</v>
      </c>
      <c r="J38" s="14">
        <v>1.8398361206054688</v>
      </c>
      <c r="K38" s="15">
        <v>16450000</v>
      </c>
      <c r="L38" s="15">
        <v>8210000</v>
      </c>
      <c r="M38" s="16">
        <v>70</v>
      </c>
      <c r="N38" s="13">
        <v>4</v>
      </c>
      <c r="O38" s="13">
        <v>2</v>
      </c>
      <c r="P38" s="15">
        <v>2165000</v>
      </c>
      <c r="Q38" s="15">
        <v>7000000</v>
      </c>
      <c r="R38" s="15">
        <v>70500000</v>
      </c>
      <c r="S38" s="16">
        <v>0</v>
      </c>
      <c r="T38" s="3" t="s">
        <v>60</v>
      </c>
      <c r="U38" s="3" t="s">
        <v>53</v>
      </c>
      <c r="V38" s="3" t="s">
        <v>53</v>
      </c>
      <c r="W38" s="16">
        <v>70</v>
      </c>
      <c r="X38" s="16">
        <v>0</v>
      </c>
      <c r="Y38" s="16">
        <v>0</v>
      </c>
      <c r="Z38" s="3" t="s">
        <v>53</v>
      </c>
      <c r="AA38" s="15"/>
      <c r="AB38" s="3" t="s">
        <v>53</v>
      </c>
      <c r="AC38" s="3" t="s">
        <v>53</v>
      </c>
      <c r="AD38" s="3" t="s">
        <v>52</v>
      </c>
      <c r="AE38" s="16">
        <v>5</v>
      </c>
      <c r="AF38" s="3" t="s">
        <v>67</v>
      </c>
      <c r="AG38" s="3" t="s">
        <v>54</v>
      </c>
      <c r="AH38" s="3" t="s">
        <v>55</v>
      </c>
      <c r="AI38" s="3" t="s">
        <v>67</v>
      </c>
      <c r="AJ38" s="3" t="s">
        <v>87</v>
      </c>
      <c r="AK38" s="3" t="s">
        <v>75</v>
      </c>
      <c r="AL38" s="13">
        <f t="shared" si="0"/>
        <v>14</v>
      </c>
      <c r="AM38" s="15">
        <f t="shared" si="1"/>
        <v>0</v>
      </c>
      <c r="AN38" s="3">
        <f t="shared" si="2"/>
        <v>5</v>
      </c>
      <c r="AO38" s="3" t="str">
        <f t="shared" si="3"/>
        <v>No</v>
      </c>
      <c r="AP38" s="17">
        <f t="shared" si="4"/>
        <v>1.0036540803897687</v>
      </c>
      <c r="AQ38" s="17">
        <f t="shared" si="5"/>
        <v>0.41550488532882457</v>
      </c>
      <c r="AR38" s="17">
        <f t="shared" si="6"/>
        <v>1</v>
      </c>
      <c r="AS38" s="15">
        <f t="shared" si="7"/>
        <v>4112500</v>
      </c>
      <c r="AT38" s="17">
        <f t="shared" si="8"/>
        <v>0.13161094224924011</v>
      </c>
      <c r="AU38" s="17">
        <f t="shared" si="9"/>
        <v>0.42553191489361702</v>
      </c>
      <c r="AV38" s="15">
        <f t="shared" si="10"/>
        <v>17625000</v>
      </c>
      <c r="AW38" s="18">
        <f t="shared" si="11"/>
        <v>0</v>
      </c>
      <c r="AX38" s="27" t="str">
        <f>IF(OR(K38&lt;Outlier_Audit!$H$2,K38&gt;Outlier_Audit!$I$2),"Review","Normal")</f>
        <v>Normal</v>
      </c>
      <c r="AY38" t="str">
        <f t="shared" si="12"/>
        <v>10-19 years</v>
      </c>
      <c r="AZ38" t="str">
        <f>IF(AQ38="","Missing",IF(AQ38&gt;=EDA_Performance!$B$7,"High Growth",IF(AQ38&lt;=EDA_Performance!$B$5,"Low Growth","Middle")))</f>
        <v>High Growth</v>
      </c>
    </row>
    <row r="39" spans="1:52">
      <c r="A39" s="12">
        <v>1614208</v>
      </c>
      <c r="B39" s="3" t="s">
        <v>74</v>
      </c>
      <c r="C39" s="3" t="s">
        <v>58</v>
      </c>
      <c r="D39" s="13">
        <v>6</v>
      </c>
      <c r="E39" s="13">
        <v>1410</v>
      </c>
      <c r="F39" s="13">
        <v>14</v>
      </c>
      <c r="G39" s="3" t="s">
        <v>59</v>
      </c>
      <c r="H39" s="13">
        <v>2000</v>
      </c>
      <c r="I39" s="13">
        <v>25</v>
      </c>
      <c r="J39" s="14">
        <v>46.711292266845703</v>
      </c>
      <c r="K39" s="15">
        <v>40000000</v>
      </c>
      <c r="L39" s="15">
        <v>15000000</v>
      </c>
      <c r="M39" s="16">
        <v>50</v>
      </c>
      <c r="N39" s="13">
        <v>6</v>
      </c>
      <c r="O39" s="13">
        <v>6</v>
      </c>
      <c r="P39" s="15"/>
      <c r="Q39" s="15">
        <v>30000000</v>
      </c>
      <c r="R39" s="15">
        <v>11100000</v>
      </c>
      <c r="S39" s="16">
        <v>0</v>
      </c>
      <c r="T39" s="3" t="s">
        <v>60</v>
      </c>
      <c r="U39" s="3" t="s">
        <v>52</v>
      </c>
      <c r="V39" s="3" t="s">
        <v>52</v>
      </c>
      <c r="W39" s="16">
        <v>73</v>
      </c>
      <c r="X39" s="16">
        <v>0</v>
      </c>
      <c r="Y39" s="16">
        <v>7</v>
      </c>
      <c r="Z39" s="3" t="s">
        <v>52</v>
      </c>
      <c r="AA39" s="15">
        <v>2500000</v>
      </c>
      <c r="AB39" s="3" t="s">
        <v>52</v>
      </c>
      <c r="AC39" s="3" t="s">
        <v>52</v>
      </c>
      <c r="AD39" s="3" t="s">
        <v>52</v>
      </c>
      <c r="AE39" s="16">
        <v>3</v>
      </c>
      <c r="AF39" s="3" t="s">
        <v>55</v>
      </c>
      <c r="AG39" s="3" t="s">
        <v>62</v>
      </c>
      <c r="AH39" s="3" t="s">
        <v>62</v>
      </c>
      <c r="AI39" s="3" t="s">
        <v>62</v>
      </c>
      <c r="AJ39" s="3" t="s">
        <v>86</v>
      </c>
      <c r="AK39" s="3" t="s">
        <v>75</v>
      </c>
      <c r="AL39" s="13">
        <f t="shared" si="0"/>
        <v>24</v>
      </c>
      <c r="AM39" s="15">
        <f t="shared" si="1"/>
        <v>2500000</v>
      </c>
      <c r="AN39" s="3">
        <f t="shared" si="2"/>
        <v>3</v>
      </c>
      <c r="AO39" s="3" t="str">
        <f t="shared" si="3"/>
        <v>No</v>
      </c>
      <c r="AP39" s="17">
        <f t="shared" si="4"/>
        <v>1.6666666666666665</v>
      </c>
      <c r="AQ39" s="17">
        <f t="shared" si="5"/>
        <v>0.63299316185545207</v>
      </c>
      <c r="AR39" s="17">
        <f t="shared" si="6"/>
        <v>0</v>
      </c>
      <c r="AS39" s="15">
        <f t="shared" si="7"/>
        <v>6666666.666666667</v>
      </c>
      <c r="AT39" s="17" t="str">
        <f t="shared" si="8"/>
        <v/>
      </c>
      <c r="AU39" s="17">
        <f t="shared" si="9"/>
        <v>0.75</v>
      </c>
      <c r="AV39" s="15">
        <f t="shared" si="10"/>
        <v>1850000</v>
      </c>
      <c r="AW39" s="18">
        <f t="shared" si="11"/>
        <v>6.25E-2</v>
      </c>
      <c r="AX39" s="27" t="str">
        <f>IF(OR(K39&lt;Outlier_Audit!$H$2,K39&gt;Outlier_Audit!$I$2),"Review","Normal")</f>
        <v>Normal</v>
      </c>
      <c r="AY39" t="str">
        <f t="shared" si="12"/>
        <v>20-29 years</v>
      </c>
      <c r="AZ39" t="str">
        <f>IF(AQ39="","Missing",IF(AQ39&gt;=EDA_Performance!$B$7,"High Growth",IF(AQ39&lt;=EDA_Performance!$B$5,"Low Growth","Middle")))</f>
        <v>High Growth</v>
      </c>
    </row>
    <row r="40" spans="1:52">
      <c r="A40" s="12">
        <v>1614212</v>
      </c>
      <c r="B40" s="3" t="s">
        <v>65</v>
      </c>
      <c r="C40" s="3" t="s">
        <v>58</v>
      </c>
      <c r="D40" s="13">
        <v>10</v>
      </c>
      <c r="E40" s="13">
        <v>1622</v>
      </c>
      <c r="F40" s="13">
        <v>16</v>
      </c>
      <c r="G40" s="3" t="s">
        <v>88</v>
      </c>
      <c r="H40" s="13">
        <v>2014</v>
      </c>
      <c r="I40" s="13">
        <v>10</v>
      </c>
      <c r="J40" s="14">
        <v>157.86735534667969</v>
      </c>
      <c r="K40" s="15">
        <v>30000000</v>
      </c>
      <c r="L40" s="15">
        <v>15000000</v>
      </c>
      <c r="M40" s="16">
        <v>35</v>
      </c>
      <c r="N40" s="13">
        <v>5</v>
      </c>
      <c r="O40" s="13">
        <v>3</v>
      </c>
      <c r="P40" s="15">
        <v>10000000</v>
      </c>
      <c r="Q40" s="15">
        <v>5000000</v>
      </c>
      <c r="R40" s="15">
        <v>60000000</v>
      </c>
      <c r="S40" s="16">
        <v>0</v>
      </c>
      <c r="T40" s="3" t="s">
        <v>60</v>
      </c>
      <c r="U40" s="3" t="s">
        <v>53</v>
      </c>
      <c r="V40" s="3" t="s">
        <v>53</v>
      </c>
      <c r="W40" s="16">
        <v>0</v>
      </c>
      <c r="X40" s="16">
        <v>0</v>
      </c>
      <c r="Y40" s="16">
        <v>0</v>
      </c>
      <c r="Z40" s="3" t="s">
        <v>53</v>
      </c>
      <c r="AA40" s="15"/>
      <c r="AB40" s="3" t="s">
        <v>53</v>
      </c>
      <c r="AC40" s="3" t="s">
        <v>53</v>
      </c>
      <c r="AD40" s="3" t="s">
        <v>53</v>
      </c>
      <c r="AE40" s="16"/>
      <c r="AF40" s="3" t="s">
        <v>62</v>
      </c>
      <c r="AG40" s="3" t="s">
        <v>62</v>
      </c>
      <c r="AH40" s="3" t="s">
        <v>62</v>
      </c>
      <c r="AI40" s="3" t="s">
        <v>55</v>
      </c>
      <c r="AJ40" s="3" t="s">
        <v>79</v>
      </c>
      <c r="AK40" s="3" t="s">
        <v>75</v>
      </c>
      <c r="AL40" s="13">
        <f t="shared" si="0"/>
        <v>10</v>
      </c>
      <c r="AM40" s="15">
        <f t="shared" si="1"/>
        <v>0</v>
      </c>
      <c r="AN40" s="3">
        <f t="shared" si="2"/>
        <v>0</v>
      </c>
      <c r="AO40" s="3" t="str">
        <f t="shared" si="3"/>
        <v>No</v>
      </c>
      <c r="AP40" s="17">
        <f t="shared" si="4"/>
        <v>1</v>
      </c>
      <c r="AQ40" s="17">
        <f t="shared" si="5"/>
        <v>0.41421356237309515</v>
      </c>
      <c r="AR40" s="17">
        <f t="shared" si="6"/>
        <v>0.66666666666666674</v>
      </c>
      <c r="AS40" s="15">
        <f t="shared" si="7"/>
        <v>6000000</v>
      </c>
      <c r="AT40" s="17">
        <f t="shared" si="8"/>
        <v>0.33333333333333331</v>
      </c>
      <c r="AU40" s="17">
        <f t="shared" si="9"/>
        <v>0.16666666666666666</v>
      </c>
      <c r="AV40" s="15">
        <f t="shared" si="10"/>
        <v>12000000</v>
      </c>
      <c r="AW40" s="18">
        <f t="shared" si="11"/>
        <v>0</v>
      </c>
      <c r="AX40" s="27" t="str">
        <f>IF(OR(K40&lt;Outlier_Audit!$H$2,K40&gt;Outlier_Audit!$I$2),"Review","Normal")</f>
        <v>Normal</v>
      </c>
      <c r="AY40" t="str">
        <f t="shared" si="12"/>
        <v>10-19 years</v>
      </c>
      <c r="AZ40" t="str">
        <f>IF(AQ40="","Missing",IF(AQ40&gt;=EDA_Performance!$B$7,"High Growth",IF(AQ40&lt;=EDA_Performance!$B$5,"Low Growth","Middle")))</f>
        <v>High Growth</v>
      </c>
    </row>
    <row r="41" spans="1:52">
      <c r="A41" s="12">
        <v>1614213</v>
      </c>
      <c r="B41" s="3" t="s">
        <v>65</v>
      </c>
      <c r="C41" s="3" t="s">
        <v>50</v>
      </c>
      <c r="D41" s="13">
        <v>20</v>
      </c>
      <c r="E41" s="13">
        <v>1061</v>
      </c>
      <c r="F41" s="13">
        <v>10</v>
      </c>
      <c r="G41" s="3" t="s">
        <v>51</v>
      </c>
      <c r="H41" s="13">
        <v>2001</v>
      </c>
      <c r="I41" s="13">
        <v>15</v>
      </c>
      <c r="J41" s="14">
        <v>3.8174867630004883</v>
      </c>
      <c r="K41" s="15">
        <v>2000000</v>
      </c>
      <c r="L41" s="15"/>
      <c r="M41" s="16">
        <v>10</v>
      </c>
      <c r="N41" s="13">
        <v>5</v>
      </c>
      <c r="O41" s="13"/>
      <c r="P41" s="15"/>
      <c r="Q41" s="15"/>
      <c r="R41" s="15"/>
      <c r="S41" s="16">
        <v>0</v>
      </c>
      <c r="T41" s="3" t="s">
        <v>53</v>
      </c>
      <c r="U41" s="3" t="s">
        <v>53</v>
      </c>
      <c r="V41" s="3" t="s">
        <v>53</v>
      </c>
      <c r="W41" s="16">
        <v>100</v>
      </c>
      <c r="X41" s="16">
        <v>0</v>
      </c>
      <c r="Y41" s="16">
        <v>0</v>
      </c>
      <c r="Z41" s="3" t="s">
        <v>53</v>
      </c>
      <c r="AA41" s="15"/>
      <c r="AB41" s="3" t="s">
        <v>53</v>
      </c>
      <c r="AC41" s="3" t="s">
        <v>53</v>
      </c>
      <c r="AD41" s="3" t="s">
        <v>52</v>
      </c>
      <c r="AE41" s="16">
        <v>6</v>
      </c>
      <c r="AF41" s="3" t="s">
        <v>62</v>
      </c>
      <c r="AG41" s="3" t="s">
        <v>55</v>
      </c>
      <c r="AH41" s="3" t="s">
        <v>62</v>
      </c>
      <c r="AI41" s="3" t="s">
        <v>61</v>
      </c>
      <c r="AJ41" s="3" t="s">
        <v>70</v>
      </c>
      <c r="AK41" s="3" t="s">
        <v>75</v>
      </c>
      <c r="AL41" s="13">
        <f t="shared" si="0"/>
        <v>23</v>
      </c>
      <c r="AM41" s="15">
        <f t="shared" si="1"/>
        <v>0</v>
      </c>
      <c r="AN41" s="3">
        <f t="shared" si="2"/>
        <v>6</v>
      </c>
      <c r="AO41" s="3" t="str">
        <f t="shared" si="3"/>
        <v>No</v>
      </c>
      <c r="AP41" s="17" t="str">
        <f t="shared" si="4"/>
        <v/>
      </c>
      <c r="AQ41" s="17" t="str">
        <f t="shared" si="5"/>
        <v/>
      </c>
      <c r="AR41" s="17" t="str">
        <f t="shared" si="6"/>
        <v/>
      </c>
      <c r="AS41" s="15">
        <f t="shared" si="7"/>
        <v>400000</v>
      </c>
      <c r="AT41" s="17" t="str">
        <f t="shared" si="8"/>
        <v/>
      </c>
      <c r="AU41" s="17" t="str">
        <f t="shared" si="9"/>
        <v/>
      </c>
      <c r="AV41" s="15" t="str">
        <f t="shared" si="10"/>
        <v/>
      </c>
      <c r="AW41" s="18">
        <f t="shared" si="11"/>
        <v>0</v>
      </c>
      <c r="AX41" s="27" t="str">
        <f>IF(OR(K41&lt;Outlier_Audit!$H$2,K41&gt;Outlier_Audit!$I$2),"Review","Normal")</f>
        <v>Normal</v>
      </c>
      <c r="AY41" t="str">
        <f t="shared" si="12"/>
        <v>20-29 years</v>
      </c>
      <c r="AZ41" t="str">
        <f>IF(AQ41="","Missing",IF(AQ41&gt;=EDA_Performance!$B$7,"High Growth",IF(AQ41&lt;=EDA_Performance!$B$5,"Low Growth","Middle")))</f>
        <v>Missing</v>
      </c>
    </row>
    <row r="42" spans="1:52">
      <c r="A42" s="12">
        <v>1614215</v>
      </c>
      <c r="B42" s="3" t="s">
        <v>65</v>
      </c>
      <c r="C42" s="3" t="s">
        <v>50</v>
      </c>
      <c r="D42" s="13">
        <v>66</v>
      </c>
      <c r="E42" s="13">
        <v>1811</v>
      </c>
      <c r="F42" s="13">
        <v>18</v>
      </c>
      <c r="G42" s="3" t="s">
        <v>72</v>
      </c>
      <c r="H42" s="13">
        <v>1997</v>
      </c>
      <c r="I42" s="13">
        <v>13</v>
      </c>
      <c r="J42" s="14">
        <v>1</v>
      </c>
      <c r="K42" s="15">
        <v>5000000000</v>
      </c>
      <c r="L42" s="15">
        <v>2000000000</v>
      </c>
      <c r="M42" s="16">
        <v>100</v>
      </c>
      <c r="N42" s="13">
        <v>46</v>
      </c>
      <c r="O42" s="13">
        <v>38</v>
      </c>
      <c r="P42" s="15">
        <v>300000000</v>
      </c>
      <c r="Q42" s="15">
        <v>1000000000</v>
      </c>
      <c r="R42" s="15"/>
      <c r="S42" s="16">
        <v>0</v>
      </c>
      <c r="T42" s="3" t="s">
        <v>52</v>
      </c>
      <c r="U42" s="3" t="s">
        <v>53</v>
      </c>
      <c r="V42" s="3" t="s">
        <v>53</v>
      </c>
      <c r="W42" s="16">
        <v>40</v>
      </c>
      <c r="X42" s="16">
        <v>50</v>
      </c>
      <c r="Y42" s="16">
        <v>10</v>
      </c>
      <c r="Z42" s="3" t="s">
        <v>52</v>
      </c>
      <c r="AA42" s="15">
        <v>85000000</v>
      </c>
      <c r="AB42" s="3" t="s">
        <v>52</v>
      </c>
      <c r="AC42" s="3" t="s">
        <v>53</v>
      </c>
      <c r="AD42" s="3" t="s">
        <v>52</v>
      </c>
      <c r="AE42" s="16">
        <v>7</v>
      </c>
      <c r="AF42" s="3" t="s">
        <v>67</v>
      </c>
      <c r="AG42" s="3" t="s">
        <v>54</v>
      </c>
      <c r="AH42" s="3" t="s">
        <v>67</v>
      </c>
      <c r="AI42" s="3" t="s">
        <v>55</v>
      </c>
      <c r="AJ42" s="3" t="s">
        <v>56</v>
      </c>
      <c r="AK42" s="3" t="s">
        <v>57</v>
      </c>
      <c r="AL42" s="13">
        <f t="shared" si="0"/>
        <v>27</v>
      </c>
      <c r="AM42" s="15">
        <f t="shared" si="1"/>
        <v>85000000</v>
      </c>
      <c r="AN42" s="3">
        <f t="shared" si="2"/>
        <v>7</v>
      </c>
      <c r="AO42" s="3" t="str">
        <f t="shared" si="3"/>
        <v>No</v>
      </c>
      <c r="AP42" s="17">
        <f t="shared" si="4"/>
        <v>1.5</v>
      </c>
      <c r="AQ42" s="17">
        <f t="shared" si="5"/>
        <v>0.58113883008418976</v>
      </c>
      <c r="AR42" s="17">
        <f t="shared" si="6"/>
        <v>0.21052631578947367</v>
      </c>
      <c r="AS42" s="15">
        <f t="shared" si="7"/>
        <v>108695652.17391305</v>
      </c>
      <c r="AT42" s="17">
        <f t="shared" si="8"/>
        <v>0.06</v>
      </c>
      <c r="AU42" s="17">
        <f t="shared" si="9"/>
        <v>0.2</v>
      </c>
      <c r="AV42" s="15" t="str">
        <f t="shared" si="10"/>
        <v/>
      </c>
      <c r="AW42" s="18">
        <f t="shared" si="11"/>
        <v>1.7000000000000001E-2</v>
      </c>
      <c r="AX42" s="27" t="str">
        <f>IF(OR(K42&lt;Outlier_Audit!$H$2,K42&gt;Outlier_Audit!$I$2),"Review","Normal")</f>
        <v>Normal</v>
      </c>
      <c r="AY42" t="str">
        <f t="shared" si="12"/>
        <v>20-29 years</v>
      </c>
      <c r="AZ42" t="str">
        <f>IF(AQ42="","Missing",IF(AQ42&gt;=EDA_Performance!$B$7,"High Growth",IF(AQ42&lt;=EDA_Performance!$B$5,"Low Growth","Middle")))</f>
        <v>High Growth</v>
      </c>
    </row>
    <row r="43" spans="1:52">
      <c r="A43" s="12">
        <v>1614218</v>
      </c>
      <c r="B43" s="3" t="s">
        <v>65</v>
      </c>
      <c r="C43" s="3" t="s">
        <v>50</v>
      </c>
      <c r="D43" s="13">
        <v>6</v>
      </c>
      <c r="E43" s="13">
        <v>2511</v>
      </c>
      <c r="F43" s="13">
        <v>25</v>
      </c>
      <c r="G43" s="3" t="s">
        <v>76</v>
      </c>
      <c r="H43" s="13">
        <v>1984</v>
      </c>
      <c r="I43" s="13">
        <v>39</v>
      </c>
      <c r="J43" s="14">
        <v>1</v>
      </c>
      <c r="K43" s="15"/>
      <c r="L43" s="15"/>
      <c r="M43" s="16">
        <v>10</v>
      </c>
      <c r="N43" s="13">
        <v>5</v>
      </c>
      <c r="O43" s="13">
        <v>30</v>
      </c>
      <c r="P43" s="15"/>
      <c r="Q43" s="15"/>
      <c r="R43" s="15"/>
      <c r="S43" s="16">
        <v>0</v>
      </c>
      <c r="T43" s="3" t="s">
        <v>60</v>
      </c>
      <c r="U43" s="3" t="s">
        <v>52</v>
      </c>
      <c r="V43" s="3" t="s">
        <v>53</v>
      </c>
      <c r="W43" s="16">
        <v>90</v>
      </c>
      <c r="X43" s="16">
        <v>0</v>
      </c>
      <c r="Y43" s="16">
        <v>0</v>
      </c>
      <c r="Z43" s="3" t="s">
        <v>53</v>
      </c>
      <c r="AA43" s="15"/>
      <c r="AB43" s="3" t="s">
        <v>52</v>
      </c>
      <c r="AC43" s="3" t="s">
        <v>53</v>
      </c>
      <c r="AD43" s="3" t="s">
        <v>52</v>
      </c>
      <c r="AE43" s="16">
        <v>4</v>
      </c>
      <c r="AF43" s="3" t="s">
        <v>61</v>
      </c>
      <c r="AG43" s="3" t="s">
        <v>55</v>
      </c>
      <c r="AH43" s="3" t="s">
        <v>67</v>
      </c>
      <c r="AI43" s="3" t="s">
        <v>55</v>
      </c>
      <c r="AJ43" s="3" t="s">
        <v>63</v>
      </c>
      <c r="AK43" s="3" t="s">
        <v>57</v>
      </c>
      <c r="AL43" s="13">
        <f t="shared" si="0"/>
        <v>40</v>
      </c>
      <c r="AM43" s="15">
        <f t="shared" si="1"/>
        <v>0</v>
      </c>
      <c r="AN43" s="3">
        <f t="shared" si="2"/>
        <v>4</v>
      </c>
      <c r="AO43" s="3" t="str">
        <f t="shared" si="3"/>
        <v>No</v>
      </c>
      <c r="AP43" s="17" t="str">
        <f t="shared" si="4"/>
        <v/>
      </c>
      <c r="AQ43" s="17" t="str">
        <f t="shared" si="5"/>
        <v/>
      </c>
      <c r="AR43" s="17">
        <f t="shared" si="6"/>
        <v>-0.83333333333333337</v>
      </c>
      <c r="AS43" s="15" t="str">
        <f t="shared" si="7"/>
        <v/>
      </c>
      <c r="AT43" s="17" t="str">
        <f t="shared" si="8"/>
        <v/>
      </c>
      <c r="AU43" s="17" t="str">
        <f t="shared" si="9"/>
        <v/>
      </c>
      <c r="AV43" s="15" t="str">
        <f t="shared" si="10"/>
        <v/>
      </c>
      <c r="AW43" s="18">
        <f t="shared" si="11"/>
        <v>0</v>
      </c>
      <c r="AX43" s="27" t="str">
        <f>IF(OR(K43&lt;Outlier_Audit!$H$2,K43&gt;Outlier_Audit!$I$2),"Review","Normal")</f>
        <v>Normal</v>
      </c>
      <c r="AY43" t="str">
        <f t="shared" si="12"/>
        <v>30+ years</v>
      </c>
      <c r="AZ43" t="str">
        <f>IF(AQ43="","Missing",IF(AQ43&gt;=EDA_Performance!$B$7,"High Growth",IF(AQ43&lt;=EDA_Performance!$B$5,"Low Growth","Middle")))</f>
        <v>Missing</v>
      </c>
    </row>
    <row r="44" spans="1:52">
      <c r="A44" s="12">
        <v>1614219</v>
      </c>
      <c r="B44" s="3" t="s">
        <v>65</v>
      </c>
      <c r="C44" s="3" t="s">
        <v>58</v>
      </c>
      <c r="D44" s="13">
        <v>6</v>
      </c>
      <c r="E44" s="13">
        <v>1410</v>
      </c>
      <c r="F44" s="13">
        <v>14</v>
      </c>
      <c r="G44" s="3" t="s">
        <v>59</v>
      </c>
      <c r="H44" s="13">
        <v>1975</v>
      </c>
      <c r="I44" s="13">
        <v>50</v>
      </c>
      <c r="J44" s="14">
        <v>5.7243895530700684</v>
      </c>
      <c r="K44" s="15">
        <v>3600000</v>
      </c>
      <c r="L44" s="15">
        <v>3000000</v>
      </c>
      <c r="M44" s="16">
        <v>50</v>
      </c>
      <c r="N44" s="13">
        <v>6</v>
      </c>
      <c r="O44" s="13">
        <v>6</v>
      </c>
      <c r="P44" s="15">
        <v>2000000</v>
      </c>
      <c r="Q44" s="15">
        <v>3500000</v>
      </c>
      <c r="R44" s="15">
        <v>10000000</v>
      </c>
      <c r="S44" s="16">
        <v>0</v>
      </c>
      <c r="T44" s="3" t="s">
        <v>60</v>
      </c>
      <c r="U44" s="3" t="s">
        <v>52</v>
      </c>
      <c r="V44" s="3" t="s">
        <v>53</v>
      </c>
      <c r="W44" s="16">
        <v>60</v>
      </c>
      <c r="X44" s="16">
        <v>0</v>
      </c>
      <c r="Y44" s="16">
        <v>0</v>
      </c>
      <c r="Z44" s="3" t="s">
        <v>53</v>
      </c>
      <c r="AA44" s="15"/>
      <c r="AB44" s="3" t="s">
        <v>53</v>
      </c>
      <c r="AC44" s="3" t="s">
        <v>53</v>
      </c>
      <c r="AD44" s="3" t="s">
        <v>52</v>
      </c>
      <c r="AE44" s="16">
        <v>5</v>
      </c>
      <c r="AF44" s="3" t="s">
        <v>55</v>
      </c>
      <c r="AG44" s="3" t="s">
        <v>67</v>
      </c>
      <c r="AH44" s="3" t="s">
        <v>54</v>
      </c>
      <c r="AI44" s="3" t="s">
        <v>61</v>
      </c>
      <c r="AJ44" s="3" t="s">
        <v>87</v>
      </c>
      <c r="AK44" s="3" t="s">
        <v>75</v>
      </c>
      <c r="AL44" s="13">
        <f t="shared" si="0"/>
        <v>49</v>
      </c>
      <c r="AM44" s="15">
        <f t="shared" si="1"/>
        <v>0</v>
      </c>
      <c r="AN44" s="3">
        <f t="shared" si="2"/>
        <v>5</v>
      </c>
      <c r="AO44" s="3" t="str">
        <f t="shared" si="3"/>
        <v>No</v>
      </c>
      <c r="AP44" s="17">
        <f t="shared" si="4"/>
        <v>0.19999999999999996</v>
      </c>
      <c r="AQ44" s="17">
        <f t="shared" si="5"/>
        <v>9.5445115010332149E-2</v>
      </c>
      <c r="AR44" s="17">
        <f t="shared" si="6"/>
        <v>0</v>
      </c>
      <c r="AS44" s="15">
        <f t="shared" si="7"/>
        <v>600000</v>
      </c>
      <c r="AT44" s="17">
        <f t="shared" si="8"/>
        <v>0.55555555555555558</v>
      </c>
      <c r="AU44" s="17">
        <f t="shared" si="9"/>
        <v>0.97222222222222221</v>
      </c>
      <c r="AV44" s="15">
        <f t="shared" si="10"/>
        <v>1666666.6666666667</v>
      </c>
      <c r="AW44" s="18">
        <f t="shared" si="11"/>
        <v>0</v>
      </c>
      <c r="AX44" s="27" t="str">
        <f>IF(OR(K44&lt;Outlier_Audit!$H$2,K44&gt;Outlier_Audit!$I$2),"Review","Normal")</f>
        <v>Normal</v>
      </c>
      <c r="AY44" t="str">
        <f t="shared" si="12"/>
        <v>30+ years</v>
      </c>
      <c r="AZ44" t="str">
        <f>IF(AQ44="","Missing",IF(AQ44&gt;=EDA_Performance!$B$7,"High Growth",IF(AQ44&lt;=EDA_Performance!$B$5,"Low Growth","Middle")))</f>
        <v>Middle</v>
      </c>
    </row>
    <row r="45" spans="1:52">
      <c r="A45" s="12">
        <v>1614220</v>
      </c>
      <c r="B45" s="3" t="s">
        <v>65</v>
      </c>
      <c r="C45" s="3" t="s">
        <v>50</v>
      </c>
      <c r="D45" s="13">
        <v>500</v>
      </c>
      <c r="E45" s="13">
        <v>1103</v>
      </c>
      <c r="F45" s="13">
        <v>11</v>
      </c>
      <c r="G45" s="3" t="s">
        <v>89</v>
      </c>
      <c r="H45" s="13">
        <v>1951</v>
      </c>
      <c r="I45" s="13">
        <v>25</v>
      </c>
      <c r="J45" s="14">
        <v>1</v>
      </c>
      <c r="K45" s="15">
        <v>50000000000</v>
      </c>
      <c r="L45" s="15">
        <v>35000000000</v>
      </c>
      <c r="M45" s="16">
        <v>85</v>
      </c>
      <c r="N45" s="13">
        <v>500</v>
      </c>
      <c r="O45" s="13">
        <v>500</v>
      </c>
      <c r="P45" s="15">
        <v>2000000000</v>
      </c>
      <c r="Q45" s="15"/>
      <c r="R45" s="15"/>
      <c r="S45" s="16">
        <v>10</v>
      </c>
      <c r="T45" s="3" t="s">
        <v>52</v>
      </c>
      <c r="U45" s="3" t="s">
        <v>52</v>
      </c>
      <c r="V45" s="3" t="s">
        <v>53</v>
      </c>
      <c r="W45" s="16">
        <v>100</v>
      </c>
      <c r="X45" s="16">
        <v>0</v>
      </c>
      <c r="Y45" s="16">
        <v>0</v>
      </c>
      <c r="Z45" s="3" t="s">
        <v>53</v>
      </c>
      <c r="AA45" s="15"/>
      <c r="AB45" s="3" t="s">
        <v>53</v>
      </c>
      <c r="AC45" s="3" t="s">
        <v>53</v>
      </c>
      <c r="AD45" s="3" t="s">
        <v>52</v>
      </c>
      <c r="AE45" s="16">
        <v>10</v>
      </c>
      <c r="AF45" s="3" t="s">
        <v>54</v>
      </c>
      <c r="AG45" s="3" t="s">
        <v>62</v>
      </c>
      <c r="AH45" s="3" t="s">
        <v>62</v>
      </c>
      <c r="AI45" s="3" t="s">
        <v>55</v>
      </c>
      <c r="AJ45" s="3" t="s">
        <v>56</v>
      </c>
      <c r="AK45" s="3" t="s">
        <v>75</v>
      </c>
      <c r="AL45" s="13">
        <f t="shared" si="0"/>
        <v>73</v>
      </c>
      <c r="AM45" s="15">
        <f t="shared" si="1"/>
        <v>0</v>
      </c>
      <c r="AN45" s="3">
        <f t="shared" si="2"/>
        <v>10</v>
      </c>
      <c r="AO45" s="3" t="str">
        <f t="shared" si="3"/>
        <v>Yes</v>
      </c>
      <c r="AP45" s="17">
        <f t="shared" si="4"/>
        <v>0.4285714285714286</v>
      </c>
      <c r="AQ45" s="17">
        <f t="shared" si="5"/>
        <v>0.19522860933439357</v>
      </c>
      <c r="AR45" s="17">
        <f t="shared" si="6"/>
        <v>0</v>
      </c>
      <c r="AS45" s="15">
        <f t="shared" si="7"/>
        <v>100000000</v>
      </c>
      <c r="AT45" s="17">
        <f t="shared" si="8"/>
        <v>0.04</v>
      </c>
      <c r="AU45" s="17" t="str">
        <f t="shared" si="9"/>
        <v/>
      </c>
      <c r="AV45" s="15" t="str">
        <f t="shared" si="10"/>
        <v/>
      </c>
      <c r="AW45" s="18">
        <f t="shared" si="11"/>
        <v>0</v>
      </c>
      <c r="AX45" s="27" t="str">
        <f>IF(OR(K45&lt;Outlier_Audit!$H$2,K45&gt;Outlier_Audit!$I$2),"Review","Normal")</f>
        <v>Review</v>
      </c>
      <c r="AY45" t="str">
        <f t="shared" si="12"/>
        <v>30+ years</v>
      </c>
      <c r="AZ45" t="str">
        <f>IF(AQ45="","Missing",IF(AQ45&gt;=EDA_Performance!$B$7,"High Growth",IF(AQ45&lt;=EDA_Performance!$B$5,"Low Growth","Middle")))</f>
        <v>Middle</v>
      </c>
    </row>
    <row r="46" spans="1:52">
      <c r="A46" s="12">
        <v>1614222</v>
      </c>
      <c r="B46" s="3" t="s">
        <v>65</v>
      </c>
      <c r="C46" s="3" t="s">
        <v>50</v>
      </c>
      <c r="D46" s="13">
        <v>50</v>
      </c>
      <c r="E46" s="13">
        <v>2511</v>
      </c>
      <c r="F46" s="13">
        <v>25</v>
      </c>
      <c r="G46" s="3" t="s">
        <v>76</v>
      </c>
      <c r="H46" s="13">
        <v>1965</v>
      </c>
      <c r="I46" s="13">
        <v>17</v>
      </c>
      <c r="J46" s="14">
        <v>1</v>
      </c>
      <c r="K46" s="15">
        <v>1200000000</v>
      </c>
      <c r="L46" s="15">
        <v>3000000000</v>
      </c>
      <c r="M46" s="16">
        <v>80</v>
      </c>
      <c r="N46" s="13">
        <v>50</v>
      </c>
      <c r="O46" s="13">
        <v>60</v>
      </c>
      <c r="P46" s="15">
        <v>200000000</v>
      </c>
      <c r="Q46" s="15">
        <v>100000000</v>
      </c>
      <c r="R46" s="15"/>
      <c r="S46" s="16">
        <v>0</v>
      </c>
      <c r="T46" s="3" t="s">
        <v>52</v>
      </c>
      <c r="U46" s="3" t="s">
        <v>52</v>
      </c>
      <c r="V46" s="3" t="s">
        <v>53</v>
      </c>
      <c r="W46" s="16">
        <v>100</v>
      </c>
      <c r="X46" s="16">
        <v>0</v>
      </c>
      <c r="Y46" s="16">
        <v>0</v>
      </c>
      <c r="Z46" s="3" t="s">
        <v>52</v>
      </c>
      <c r="AA46" s="15">
        <v>109500000</v>
      </c>
      <c r="AB46" s="3" t="s">
        <v>53</v>
      </c>
      <c r="AC46" s="3" t="s">
        <v>53</v>
      </c>
      <c r="AD46" s="3" t="s">
        <v>52</v>
      </c>
      <c r="AE46" s="16">
        <v>10</v>
      </c>
      <c r="AF46" s="3" t="s">
        <v>67</v>
      </c>
      <c r="AG46" s="3" t="s">
        <v>67</v>
      </c>
      <c r="AH46" s="3" t="s">
        <v>62</v>
      </c>
      <c r="AI46" s="3" t="s">
        <v>54</v>
      </c>
      <c r="AJ46" s="3" t="s">
        <v>56</v>
      </c>
      <c r="AK46" s="3" t="s">
        <v>64</v>
      </c>
      <c r="AL46" s="13">
        <f t="shared" si="0"/>
        <v>59</v>
      </c>
      <c r="AM46" s="15">
        <f t="shared" si="1"/>
        <v>109500000</v>
      </c>
      <c r="AN46" s="3">
        <f t="shared" si="2"/>
        <v>10</v>
      </c>
      <c r="AO46" s="3" t="str">
        <f t="shared" si="3"/>
        <v>No</v>
      </c>
      <c r="AP46" s="17">
        <f t="shared" si="4"/>
        <v>-0.6</v>
      </c>
      <c r="AQ46" s="17">
        <f t="shared" si="5"/>
        <v>-0.36754446796632412</v>
      </c>
      <c r="AR46" s="17">
        <f t="shared" si="6"/>
        <v>-0.16666666666666663</v>
      </c>
      <c r="AS46" s="15">
        <f t="shared" si="7"/>
        <v>24000000</v>
      </c>
      <c r="AT46" s="17">
        <f t="shared" si="8"/>
        <v>0.16666666666666666</v>
      </c>
      <c r="AU46" s="17">
        <f t="shared" si="9"/>
        <v>8.3333333333333329E-2</v>
      </c>
      <c r="AV46" s="15" t="str">
        <f t="shared" si="10"/>
        <v/>
      </c>
      <c r="AW46" s="18">
        <f t="shared" si="11"/>
        <v>9.1249999999999998E-2</v>
      </c>
      <c r="AX46" s="27" t="str">
        <f>IF(OR(K46&lt;Outlier_Audit!$H$2,K46&gt;Outlier_Audit!$I$2),"Review","Normal")</f>
        <v>Normal</v>
      </c>
      <c r="AY46" t="str">
        <f t="shared" si="12"/>
        <v>30+ years</v>
      </c>
      <c r="AZ46" t="str">
        <f>IF(AQ46="","Missing",IF(AQ46&gt;=EDA_Performance!$B$7,"High Growth",IF(AQ46&lt;=EDA_Performance!$B$5,"Low Growth","Middle")))</f>
        <v>Low Growth</v>
      </c>
    </row>
    <row r="47" spans="1:52">
      <c r="A47" s="12">
        <v>1614223</v>
      </c>
      <c r="B47" s="3" t="s">
        <v>65</v>
      </c>
      <c r="C47" s="3" t="s">
        <v>58</v>
      </c>
      <c r="D47" s="13">
        <v>6</v>
      </c>
      <c r="E47" s="13">
        <v>1622</v>
      </c>
      <c r="F47" s="13">
        <v>16</v>
      </c>
      <c r="G47" s="3" t="s">
        <v>88</v>
      </c>
      <c r="H47" s="13">
        <v>2012</v>
      </c>
      <c r="I47" s="13">
        <v>28</v>
      </c>
      <c r="J47" s="14">
        <v>143.61814880371094</v>
      </c>
      <c r="K47" s="15"/>
      <c r="L47" s="15"/>
      <c r="M47" s="16">
        <v>90</v>
      </c>
      <c r="N47" s="13">
        <v>4</v>
      </c>
      <c r="O47" s="13">
        <v>4</v>
      </c>
      <c r="P47" s="15">
        <v>1500000</v>
      </c>
      <c r="Q47" s="15">
        <v>7000000</v>
      </c>
      <c r="R47" s="15">
        <v>1500000</v>
      </c>
      <c r="S47" s="16">
        <v>75</v>
      </c>
      <c r="T47" s="3" t="s">
        <v>60</v>
      </c>
      <c r="U47" s="3" t="s">
        <v>53</v>
      </c>
      <c r="V47" s="3" t="s">
        <v>53</v>
      </c>
      <c r="W47" s="16">
        <v>80</v>
      </c>
      <c r="X47" s="16">
        <v>0</v>
      </c>
      <c r="Y47" s="16">
        <v>0</v>
      </c>
      <c r="Z47" s="3" t="s">
        <v>52</v>
      </c>
      <c r="AA47" s="15">
        <v>450000</v>
      </c>
      <c r="AB47" s="3" t="s">
        <v>53</v>
      </c>
      <c r="AC47" s="3" t="s">
        <v>53</v>
      </c>
      <c r="AD47" s="3" t="s">
        <v>52</v>
      </c>
      <c r="AE47" s="16">
        <v>2</v>
      </c>
      <c r="AF47" s="3" t="s">
        <v>67</v>
      </c>
      <c r="AG47" s="3" t="s">
        <v>67</v>
      </c>
      <c r="AH47" s="3" t="s">
        <v>54</v>
      </c>
      <c r="AI47" s="3" t="s">
        <v>54</v>
      </c>
      <c r="AJ47" s="3" t="s">
        <v>77</v>
      </c>
      <c r="AK47" s="3" t="s">
        <v>85</v>
      </c>
      <c r="AL47" s="13">
        <f t="shared" si="0"/>
        <v>12</v>
      </c>
      <c r="AM47" s="15">
        <f t="shared" si="1"/>
        <v>450000</v>
      </c>
      <c r="AN47" s="3">
        <f t="shared" si="2"/>
        <v>2</v>
      </c>
      <c r="AO47" s="3" t="str">
        <f t="shared" si="3"/>
        <v>Yes</v>
      </c>
      <c r="AP47" s="17" t="str">
        <f t="shared" si="4"/>
        <v/>
      </c>
      <c r="AQ47" s="17" t="str">
        <f t="shared" si="5"/>
        <v/>
      </c>
      <c r="AR47" s="17">
        <f t="shared" si="6"/>
        <v>0</v>
      </c>
      <c r="AS47" s="15" t="str">
        <f t="shared" si="7"/>
        <v/>
      </c>
      <c r="AT47" s="17" t="str">
        <f t="shared" si="8"/>
        <v/>
      </c>
      <c r="AU47" s="17" t="str">
        <f t="shared" si="9"/>
        <v/>
      </c>
      <c r="AV47" s="15">
        <f t="shared" si="10"/>
        <v>375000</v>
      </c>
      <c r="AW47" s="18" t="str">
        <f t="shared" si="11"/>
        <v/>
      </c>
      <c r="AX47" s="27" t="str">
        <f>IF(OR(K47&lt;Outlier_Audit!$H$2,K47&gt;Outlier_Audit!$I$2),"Review","Normal")</f>
        <v>Normal</v>
      </c>
      <c r="AY47" t="str">
        <f t="shared" si="12"/>
        <v>10-19 years</v>
      </c>
      <c r="AZ47" t="str">
        <f>IF(AQ47="","Missing",IF(AQ47&gt;=EDA_Performance!$B$7,"High Growth",IF(AQ47&lt;=EDA_Performance!$B$5,"Low Growth","Middle")))</f>
        <v>Missing</v>
      </c>
    </row>
    <row r="48" spans="1:52">
      <c r="A48" s="12">
        <v>1614224</v>
      </c>
      <c r="B48" s="3" t="s">
        <v>49</v>
      </c>
      <c r="C48" s="3" t="s">
        <v>66</v>
      </c>
      <c r="D48" s="13">
        <v>14</v>
      </c>
      <c r="E48" s="13">
        <v>3312</v>
      </c>
      <c r="F48" s="13">
        <v>33</v>
      </c>
      <c r="G48" s="3" t="s">
        <v>90</v>
      </c>
      <c r="H48" s="13">
        <v>2005</v>
      </c>
      <c r="I48" s="13">
        <v>20</v>
      </c>
      <c r="J48" s="14">
        <v>1.1482189893722534</v>
      </c>
      <c r="K48" s="15">
        <v>50000000</v>
      </c>
      <c r="L48" s="15">
        <v>36000000</v>
      </c>
      <c r="M48" s="16">
        <v>10</v>
      </c>
      <c r="N48" s="13">
        <v>14</v>
      </c>
      <c r="O48" s="13">
        <v>5</v>
      </c>
      <c r="P48" s="15">
        <v>10000000</v>
      </c>
      <c r="Q48" s="15"/>
      <c r="R48" s="15">
        <v>40000000</v>
      </c>
      <c r="S48" s="16">
        <v>0</v>
      </c>
      <c r="T48" s="3" t="s">
        <v>60</v>
      </c>
      <c r="U48" s="3" t="s">
        <v>53</v>
      </c>
      <c r="V48" s="3" t="s">
        <v>53</v>
      </c>
      <c r="W48" s="16">
        <v>0</v>
      </c>
      <c r="X48" s="16">
        <v>0</v>
      </c>
      <c r="Y48" s="16">
        <v>0</v>
      </c>
      <c r="Z48" s="3" t="s">
        <v>53</v>
      </c>
      <c r="AA48" s="15"/>
      <c r="AB48" s="3" t="s">
        <v>53</v>
      </c>
      <c r="AC48" s="3" t="s">
        <v>53</v>
      </c>
      <c r="AD48" s="3" t="s">
        <v>52</v>
      </c>
      <c r="AE48" s="16">
        <v>2</v>
      </c>
      <c r="AF48" s="3" t="s">
        <v>67</v>
      </c>
      <c r="AG48" s="3" t="s">
        <v>55</v>
      </c>
      <c r="AH48" s="3" t="s">
        <v>67</v>
      </c>
      <c r="AI48" s="3" t="s">
        <v>67</v>
      </c>
      <c r="AJ48" s="3" t="s">
        <v>70</v>
      </c>
      <c r="AK48" s="3" t="s">
        <v>75</v>
      </c>
      <c r="AL48" s="13">
        <f t="shared" si="0"/>
        <v>19</v>
      </c>
      <c r="AM48" s="15">
        <f t="shared" si="1"/>
        <v>0</v>
      </c>
      <c r="AN48" s="3">
        <f t="shared" si="2"/>
        <v>2</v>
      </c>
      <c r="AO48" s="3" t="str">
        <f t="shared" si="3"/>
        <v>No</v>
      </c>
      <c r="AP48" s="17">
        <f t="shared" si="4"/>
        <v>0.38888888888888884</v>
      </c>
      <c r="AQ48" s="17">
        <f t="shared" si="5"/>
        <v>0.17851130197757925</v>
      </c>
      <c r="AR48" s="17">
        <f t="shared" si="6"/>
        <v>1.7999999999999998</v>
      </c>
      <c r="AS48" s="15">
        <f t="shared" si="7"/>
        <v>3571428.5714285714</v>
      </c>
      <c r="AT48" s="17">
        <f t="shared" si="8"/>
        <v>0.2</v>
      </c>
      <c r="AU48" s="17" t="str">
        <f t="shared" si="9"/>
        <v/>
      </c>
      <c r="AV48" s="15">
        <f t="shared" si="10"/>
        <v>2857142.8571428573</v>
      </c>
      <c r="AW48" s="18">
        <f t="shared" si="11"/>
        <v>0</v>
      </c>
      <c r="AX48" s="27" t="str">
        <f>IF(OR(K48&lt;Outlier_Audit!$H$2,K48&gt;Outlier_Audit!$I$2),"Review","Normal")</f>
        <v>Normal</v>
      </c>
      <c r="AY48" t="str">
        <f t="shared" si="12"/>
        <v>10-19 years</v>
      </c>
      <c r="AZ48" t="str">
        <f>IF(AQ48="","Missing",IF(AQ48&gt;=EDA_Performance!$B$7,"High Growth",IF(AQ48&lt;=EDA_Performance!$B$5,"Low Growth","Middle")))</f>
        <v>Middle</v>
      </c>
    </row>
    <row r="49" spans="1:52">
      <c r="A49" s="12">
        <v>1614225</v>
      </c>
      <c r="B49" s="3" t="s">
        <v>74</v>
      </c>
      <c r="C49" s="3" t="s">
        <v>58</v>
      </c>
      <c r="D49" s="13">
        <v>6</v>
      </c>
      <c r="E49" s="13">
        <v>1061</v>
      </c>
      <c r="F49" s="13">
        <v>10</v>
      </c>
      <c r="G49" s="3" t="s">
        <v>51</v>
      </c>
      <c r="H49" s="13">
        <v>2018</v>
      </c>
      <c r="I49" s="13">
        <v>10</v>
      </c>
      <c r="J49" s="14">
        <v>11.033946990966797</v>
      </c>
      <c r="K49" s="15">
        <v>25000000</v>
      </c>
      <c r="L49" s="15">
        <v>30000000</v>
      </c>
      <c r="M49" s="16">
        <v>100</v>
      </c>
      <c r="N49" s="13">
        <v>6</v>
      </c>
      <c r="O49" s="13">
        <v>6</v>
      </c>
      <c r="P49" s="15">
        <v>7200000</v>
      </c>
      <c r="Q49" s="15">
        <v>5000000</v>
      </c>
      <c r="R49" s="15">
        <v>200000000</v>
      </c>
      <c r="S49" s="16">
        <v>0</v>
      </c>
      <c r="T49" s="3" t="s">
        <v>60</v>
      </c>
      <c r="U49" s="3" t="s">
        <v>53</v>
      </c>
      <c r="V49" s="3" t="s">
        <v>53</v>
      </c>
      <c r="W49" s="16">
        <v>80</v>
      </c>
      <c r="X49" s="16">
        <v>0</v>
      </c>
      <c r="Y49" s="16">
        <v>0</v>
      </c>
      <c r="Z49" s="3" t="s">
        <v>53</v>
      </c>
      <c r="AA49" s="15"/>
      <c r="AB49" s="3" t="s">
        <v>53</v>
      </c>
      <c r="AC49" s="3" t="s">
        <v>53</v>
      </c>
      <c r="AD49" s="3" t="s">
        <v>52</v>
      </c>
      <c r="AE49" s="16">
        <v>8</v>
      </c>
      <c r="AF49" s="3" t="s">
        <v>62</v>
      </c>
      <c r="AG49" s="3" t="s">
        <v>62</v>
      </c>
      <c r="AH49" s="3" t="s">
        <v>62</v>
      </c>
      <c r="AI49" s="3" t="s">
        <v>62</v>
      </c>
      <c r="AJ49" s="3" t="s">
        <v>56</v>
      </c>
      <c r="AK49" s="3" t="s">
        <v>57</v>
      </c>
      <c r="AL49" s="13">
        <f t="shared" si="0"/>
        <v>6</v>
      </c>
      <c r="AM49" s="15">
        <f t="shared" si="1"/>
        <v>0</v>
      </c>
      <c r="AN49" s="3">
        <f t="shared" si="2"/>
        <v>8</v>
      </c>
      <c r="AO49" s="3" t="str">
        <f t="shared" si="3"/>
        <v>No</v>
      </c>
      <c r="AP49" s="17">
        <f t="shared" si="4"/>
        <v>-0.16666666666666663</v>
      </c>
      <c r="AQ49" s="17">
        <f t="shared" si="5"/>
        <v>-8.7129070824723098E-2</v>
      </c>
      <c r="AR49" s="17">
        <f t="shared" si="6"/>
        <v>0</v>
      </c>
      <c r="AS49" s="15">
        <f t="shared" si="7"/>
        <v>4166666.6666666665</v>
      </c>
      <c r="AT49" s="17">
        <f t="shared" si="8"/>
        <v>0.28799999999999998</v>
      </c>
      <c r="AU49" s="17">
        <f t="shared" si="9"/>
        <v>0.2</v>
      </c>
      <c r="AV49" s="15">
        <f t="shared" si="10"/>
        <v>33333333.333333332</v>
      </c>
      <c r="AW49" s="18">
        <f t="shared" si="11"/>
        <v>0</v>
      </c>
      <c r="AX49" s="27" t="str">
        <f>IF(OR(K49&lt;Outlier_Audit!$H$2,K49&gt;Outlier_Audit!$I$2),"Review","Normal")</f>
        <v>Normal</v>
      </c>
      <c r="AY49" t="str">
        <f t="shared" si="12"/>
        <v>&lt;10 years</v>
      </c>
      <c r="AZ49" t="str">
        <f>IF(AQ49="","Missing",IF(AQ49&gt;=EDA_Performance!$B$7,"High Growth",IF(AQ49&lt;=EDA_Performance!$B$5,"Low Growth","Middle")))</f>
        <v>Low Growth</v>
      </c>
    </row>
    <row r="50" spans="1:52">
      <c r="A50" s="12">
        <v>1614227</v>
      </c>
      <c r="B50" s="3" t="s">
        <v>74</v>
      </c>
      <c r="C50" s="3" t="s">
        <v>66</v>
      </c>
      <c r="D50" s="13">
        <v>15</v>
      </c>
      <c r="E50" s="13">
        <v>2599</v>
      </c>
      <c r="F50" s="13">
        <v>25</v>
      </c>
      <c r="G50" s="3" t="s">
        <v>76</v>
      </c>
      <c r="H50" s="13">
        <v>1997</v>
      </c>
      <c r="I50" s="13">
        <v>30</v>
      </c>
      <c r="J50" s="14">
        <v>5.2876315116882324</v>
      </c>
      <c r="K50" s="15">
        <v>50000000</v>
      </c>
      <c r="L50" s="15">
        <v>100000000</v>
      </c>
      <c r="M50" s="16">
        <v>55</v>
      </c>
      <c r="N50" s="13">
        <v>7</v>
      </c>
      <c r="O50" s="13">
        <v>6</v>
      </c>
      <c r="P50" s="15">
        <v>11160000</v>
      </c>
      <c r="Q50" s="15">
        <v>7000000</v>
      </c>
      <c r="R50" s="15">
        <v>7000000</v>
      </c>
      <c r="S50" s="16">
        <v>0</v>
      </c>
      <c r="T50" s="3" t="s">
        <v>60</v>
      </c>
      <c r="U50" s="3" t="s">
        <v>53</v>
      </c>
      <c r="V50" s="3" t="s">
        <v>53</v>
      </c>
      <c r="W50" s="16">
        <v>80</v>
      </c>
      <c r="X50" s="16">
        <v>0</v>
      </c>
      <c r="Y50" s="16">
        <v>20</v>
      </c>
      <c r="Z50" s="3" t="s">
        <v>53</v>
      </c>
      <c r="AA50" s="15"/>
      <c r="AB50" s="3" t="s">
        <v>53</v>
      </c>
      <c r="AC50" s="3" t="s">
        <v>53</v>
      </c>
      <c r="AD50" s="3" t="s">
        <v>52</v>
      </c>
      <c r="AE50" s="16">
        <v>7</v>
      </c>
      <c r="AF50" s="3" t="s">
        <v>54</v>
      </c>
      <c r="AG50" s="3" t="s">
        <v>67</v>
      </c>
      <c r="AH50" s="3" t="s">
        <v>67</v>
      </c>
      <c r="AI50" s="3" t="s">
        <v>67</v>
      </c>
      <c r="AJ50" s="3" t="s">
        <v>81</v>
      </c>
      <c r="AK50" s="3" t="s">
        <v>75</v>
      </c>
      <c r="AL50" s="13">
        <f t="shared" si="0"/>
        <v>27</v>
      </c>
      <c r="AM50" s="15">
        <f t="shared" si="1"/>
        <v>0</v>
      </c>
      <c r="AN50" s="3">
        <f t="shared" si="2"/>
        <v>7</v>
      </c>
      <c r="AO50" s="3" t="str">
        <f t="shared" si="3"/>
        <v>No</v>
      </c>
      <c r="AP50" s="17">
        <f t="shared" si="4"/>
        <v>-0.5</v>
      </c>
      <c r="AQ50" s="17">
        <f t="shared" si="5"/>
        <v>-0.29289321881345243</v>
      </c>
      <c r="AR50" s="17">
        <f t="shared" si="6"/>
        <v>0.16666666666666674</v>
      </c>
      <c r="AS50" s="15">
        <f t="shared" si="7"/>
        <v>7142857.1428571427</v>
      </c>
      <c r="AT50" s="17">
        <f t="shared" si="8"/>
        <v>0.22320000000000001</v>
      </c>
      <c r="AU50" s="17">
        <f t="shared" si="9"/>
        <v>0.14000000000000001</v>
      </c>
      <c r="AV50" s="15">
        <f t="shared" si="10"/>
        <v>1000000</v>
      </c>
      <c r="AW50" s="18">
        <f t="shared" si="11"/>
        <v>0</v>
      </c>
      <c r="AX50" s="27" t="str">
        <f>IF(OR(K50&lt;Outlier_Audit!$H$2,K50&gt;Outlier_Audit!$I$2),"Review","Normal")</f>
        <v>Normal</v>
      </c>
      <c r="AY50" t="str">
        <f t="shared" si="12"/>
        <v>20-29 years</v>
      </c>
      <c r="AZ50" t="str">
        <f>IF(AQ50="","Missing",IF(AQ50&gt;=EDA_Performance!$B$7,"High Growth",IF(AQ50&lt;=EDA_Performance!$B$5,"Low Growth","Middle")))</f>
        <v>Low Growth</v>
      </c>
    </row>
    <row r="51" spans="1:52">
      <c r="A51" s="12">
        <v>1614229</v>
      </c>
      <c r="B51" s="3" t="s">
        <v>49</v>
      </c>
      <c r="C51" s="3" t="s">
        <v>58</v>
      </c>
      <c r="D51" s="13">
        <v>10</v>
      </c>
      <c r="E51" s="13">
        <v>1061</v>
      </c>
      <c r="F51" s="13">
        <v>10</v>
      </c>
      <c r="G51" s="3" t="s">
        <v>51</v>
      </c>
      <c r="H51" s="13">
        <v>2001</v>
      </c>
      <c r="I51" s="13">
        <v>24</v>
      </c>
      <c r="J51" s="14">
        <v>1.7984211444854736</v>
      </c>
      <c r="K51" s="15">
        <v>182500000</v>
      </c>
      <c r="L51" s="15">
        <v>180000000</v>
      </c>
      <c r="M51" s="16">
        <v>100</v>
      </c>
      <c r="N51" s="13">
        <v>9</v>
      </c>
      <c r="O51" s="13">
        <v>8</v>
      </c>
      <c r="P51" s="15">
        <v>48000000</v>
      </c>
      <c r="Q51" s="15">
        <v>70000000</v>
      </c>
      <c r="R51" s="15">
        <v>120000000</v>
      </c>
      <c r="S51" s="16">
        <v>0</v>
      </c>
      <c r="T51" s="3" t="s">
        <v>60</v>
      </c>
      <c r="U51" s="3" t="s">
        <v>53</v>
      </c>
      <c r="V51" s="3" t="s">
        <v>53</v>
      </c>
      <c r="W51" s="16">
        <v>70</v>
      </c>
      <c r="X51" s="16">
        <v>0</v>
      </c>
      <c r="Y51" s="16">
        <v>0</v>
      </c>
      <c r="Z51" s="3" t="s">
        <v>53</v>
      </c>
      <c r="AA51" s="15"/>
      <c r="AB51" s="3" t="s">
        <v>53</v>
      </c>
      <c r="AC51" s="3" t="s">
        <v>53</v>
      </c>
      <c r="AD51" s="3" t="s">
        <v>52</v>
      </c>
      <c r="AE51" s="16">
        <v>5</v>
      </c>
      <c r="AF51" s="3" t="s">
        <v>54</v>
      </c>
      <c r="AG51" s="3" t="s">
        <v>55</v>
      </c>
      <c r="AH51" s="3" t="s">
        <v>62</v>
      </c>
      <c r="AI51" s="3" t="s">
        <v>54</v>
      </c>
      <c r="AJ51" s="3" t="s">
        <v>70</v>
      </c>
      <c r="AK51" s="3" t="s">
        <v>64</v>
      </c>
      <c r="AL51" s="13">
        <f t="shared" si="0"/>
        <v>23</v>
      </c>
      <c r="AM51" s="15">
        <f t="shared" si="1"/>
        <v>0</v>
      </c>
      <c r="AN51" s="3">
        <f t="shared" si="2"/>
        <v>5</v>
      </c>
      <c r="AO51" s="3" t="str">
        <f t="shared" si="3"/>
        <v>No</v>
      </c>
      <c r="AP51" s="17">
        <f t="shared" si="4"/>
        <v>1.388888888888884E-2</v>
      </c>
      <c r="AQ51" s="17">
        <f t="shared" si="5"/>
        <v>6.9204977995476202E-3</v>
      </c>
      <c r="AR51" s="17">
        <f t="shared" si="6"/>
        <v>0.125</v>
      </c>
      <c r="AS51" s="15">
        <f t="shared" si="7"/>
        <v>20277777.777777776</v>
      </c>
      <c r="AT51" s="17">
        <f t="shared" si="8"/>
        <v>0.26301369863013696</v>
      </c>
      <c r="AU51" s="17">
        <f t="shared" si="9"/>
        <v>0.38356164383561642</v>
      </c>
      <c r="AV51" s="15">
        <f t="shared" si="10"/>
        <v>13333333.333333334</v>
      </c>
      <c r="AW51" s="18">
        <f t="shared" si="11"/>
        <v>0</v>
      </c>
      <c r="AX51" s="27" t="str">
        <f>IF(OR(K51&lt;Outlier_Audit!$H$2,K51&gt;Outlier_Audit!$I$2),"Review","Normal")</f>
        <v>Normal</v>
      </c>
      <c r="AY51" t="str">
        <f t="shared" si="12"/>
        <v>20-29 years</v>
      </c>
      <c r="AZ51" t="str">
        <f>IF(AQ51="","Missing",IF(AQ51&gt;=EDA_Performance!$B$7,"High Growth",IF(AQ51&lt;=EDA_Performance!$B$5,"Low Growth","Middle")))</f>
        <v>Low Growth</v>
      </c>
    </row>
    <row r="52" spans="1:52">
      <c r="A52" s="12">
        <v>1614230</v>
      </c>
      <c r="B52" s="3" t="s">
        <v>65</v>
      </c>
      <c r="C52" s="3" t="s">
        <v>58</v>
      </c>
      <c r="D52" s="13">
        <v>8</v>
      </c>
      <c r="E52" s="13">
        <v>1410</v>
      </c>
      <c r="F52" s="13">
        <v>14</v>
      </c>
      <c r="G52" s="3" t="s">
        <v>59</v>
      </c>
      <c r="H52" s="13">
        <v>2010</v>
      </c>
      <c r="I52" s="13">
        <v>20</v>
      </c>
      <c r="J52" s="14">
        <v>189.57414245605469</v>
      </c>
      <c r="K52" s="15">
        <v>34000000</v>
      </c>
      <c r="L52" s="15">
        <v>15000000</v>
      </c>
      <c r="M52" s="16">
        <v>30</v>
      </c>
      <c r="N52" s="13">
        <v>8</v>
      </c>
      <c r="O52" s="13">
        <v>4</v>
      </c>
      <c r="P52" s="15">
        <v>12000000</v>
      </c>
      <c r="Q52" s="15">
        <v>30000000</v>
      </c>
      <c r="R52" s="15">
        <v>25000000</v>
      </c>
      <c r="S52" s="16">
        <v>0</v>
      </c>
      <c r="T52" s="3" t="s">
        <v>60</v>
      </c>
      <c r="U52" s="3" t="s">
        <v>53</v>
      </c>
      <c r="V52" s="3" t="s">
        <v>53</v>
      </c>
      <c r="W52" s="16">
        <v>50</v>
      </c>
      <c r="X52" s="16">
        <v>0</v>
      </c>
      <c r="Y52" s="16">
        <v>20</v>
      </c>
      <c r="Z52" s="3" t="s">
        <v>52</v>
      </c>
      <c r="AA52" s="15">
        <v>550000</v>
      </c>
      <c r="AB52" s="3" t="s">
        <v>53</v>
      </c>
      <c r="AC52" s="3" t="s">
        <v>53</v>
      </c>
      <c r="AD52" s="3" t="s">
        <v>52</v>
      </c>
      <c r="AE52" s="16">
        <v>3</v>
      </c>
      <c r="AF52" s="3" t="s">
        <v>54</v>
      </c>
      <c r="AG52" s="3" t="s">
        <v>61</v>
      </c>
      <c r="AH52" s="3" t="s">
        <v>62</v>
      </c>
      <c r="AI52" s="3" t="s">
        <v>61</v>
      </c>
      <c r="AJ52" s="3" t="s">
        <v>70</v>
      </c>
      <c r="AK52" s="3" t="s">
        <v>75</v>
      </c>
      <c r="AL52" s="13">
        <f t="shared" si="0"/>
        <v>14</v>
      </c>
      <c r="AM52" s="15">
        <f t="shared" si="1"/>
        <v>550000</v>
      </c>
      <c r="AN52" s="3">
        <f t="shared" si="2"/>
        <v>3</v>
      </c>
      <c r="AO52" s="3" t="str">
        <f t="shared" si="3"/>
        <v>No</v>
      </c>
      <c r="AP52" s="17">
        <f t="shared" si="4"/>
        <v>1.2666666666666666</v>
      </c>
      <c r="AQ52" s="17">
        <f t="shared" si="5"/>
        <v>0.50554530541816201</v>
      </c>
      <c r="AR52" s="17">
        <f t="shared" si="6"/>
        <v>1</v>
      </c>
      <c r="AS52" s="15">
        <f t="shared" si="7"/>
        <v>4250000</v>
      </c>
      <c r="AT52" s="17">
        <f t="shared" si="8"/>
        <v>0.35294117647058826</v>
      </c>
      <c r="AU52" s="17">
        <f t="shared" si="9"/>
        <v>0.88235294117647056</v>
      </c>
      <c r="AV52" s="15">
        <f t="shared" si="10"/>
        <v>3125000</v>
      </c>
      <c r="AW52" s="18">
        <f t="shared" si="11"/>
        <v>1.6176470588235296E-2</v>
      </c>
      <c r="AX52" s="27" t="str">
        <f>IF(OR(K52&lt;Outlier_Audit!$H$2,K52&gt;Outlier_Audit!$I$2),"Review","Normal")</f>
        <v>Normal</v>
      </c>
      <c r="AY52" t="str">
        <f t="shared" si="12"/>
        <v>10-19 years</v>
      </c>
      <c r="AZ52" t="str">
        <f>IF(AQ52="","Missing",IF(AQ52&gt;=EDA_Performance!$B$7,"High Growth",IF(AQ52&lt;=EDA_Performance!$B$5,"Low Growth","Middle")))</f>
        <v>High Growth</v>
      </c>
    </row>
    <row r="53" spans="1:52">
      <c r="A53" s="12">
        <v>1614231</v>
      </c>
      <c r="B53" s="3" t="s">
        <v>49</v>
      </c>
      <c r="C53" s="3" t="s">
        <v>66</v>
      </c>
      <c r="D53" s="13">
        <v>120</v>
      </c>
      <c r="E53" s="13">
        <v>1071</v>
      </c>
      <c r="F53" s="13">
        <v>10</v>
      </c>
      <c r="G53" s="3" t="s">
        <v>51</v>
      </c>
      <c r="H53" s="13">
        <v>2002</v>
      </c>
      <c r="I53" s="13">
        <v>20</v>
      </c>
      <c r="J53" s="14">
        <v>1.356840968132019</v>
      </c>
      <c r="K53" s="15">
        <v>700000000</v>
      </c>
      <c r="L53" s="15">
        <v>600000000</v>
      </c>
      <c r="M53" s="16">
        <v>70</v>
      </c>
      <c r="N53" s="13">
        <v>128</v>
      </c>
      <c r="O53" s="13">
        <v>128</v>
      </c>
      <c r="P53" s="15">
        <v>460800000</v>
      </c>
      <c r="Q53" s="15">
        <v>300000000</v>
      </c>
      <c r="R53" s="15">
        <v>1000000000</v>
      </c>
      <c r="S53" s="16">
        <v>0</v>
      </c>
      <c r="T53" s="3" t="s">
        <v>52</v>
      </c>
      <c r="U53" s="3" t="s">
        <v>52</v>
      </c>
      <c r="V53" s="3" t="s">
        <v>53</v>
      </c>
      <c r="W53" s="16">
        <v>80</v>
      </c>
      <c r="X53" s="16">
        <v>0</v>
      </c>
      <c r="Y53" s="16">
        <v>20</v>
      </c>
      <c r="Z53" s="3" t="s">
        <v>53</v>
      </c>
      <c r="AA53" s="15"/>
      <c r="AB53" s="3" t="s">
        <v>53</v>
      </c>
      <c r="AC53" s="3" t="s">
        <v>53</v>
      </c>
      <c r="AD53" s="3" t="s">
        <v>52</v>
      </c>
      <c r="AE53" s="16">
        <v>2</v>
      </c>
      <c r="AF53" s="3" t="s">
        <v>61</v>
      </c>
      <c r="AG53" s="3" t="s">
        <v>62</v>
      </c>
      <c r="AH53" s="3" t="s">
        <v>62</v>
      </c>
      <c r="AI53" s="3" t="s">
        <v>61</v>
      </c>
      <c r="AJ53" s="3" t="s">
        <v>79</v>
      </c>
      <c r="AK53" s="3" t="s">
        <v>64</v>
      </c>
      <c r="AL53" s="13">
        <f t="shared" si="0"/>
        <v>22</v>
      </c>
      <c r="AM53" s="15">
        <f t="shared" si="1"/>
        <v>0</v>
      </c>
      <c r="AN53" s="3">
        <f t="shared" si="2"/>
        <v>2</v>
      </c>
      <c r="AO53" s="3" t="str">
        <f t="shared" si="3"/>
        <v>No</v>
      </c>
      <c r="AP53" s="17">
        <f t="shared" si="4"/>
        <v>0.16666666666666674</v>
      </c>
      <c r="AQ53" s="17">
        <f t="shared" si="5"/>
        <v>8.012344973464347E-2</v>
      </c>
      <c r="AR53" s="17">
        <f t="shared" si="6"/>
        <v>0</v>
      </c>
      <c r="AS53" s="15">
        <f t="shared" si="7"/>
        <v>5468750</v>
      </c>
      <c r="AT53" s="17">
        <f t="shared" si="8"/>
        <v>0.65828571428571425</v>
      </c>
      <c r="AU53" s="17">
        <f t="shared" si="9"/>
        <v>0.42857142857142855</v>
      </c>
      <c r="AV53" s="15">
        <f t="shared" si="10"/>
        <v>7812500</v>
      </c>
      <c r="AW53" s="18">
        <f t="shared" si="11"/>
        <v>0</v>
      </c>
      <c r="AX53" s="27" t="str">
        <f>IF(OR(K53&lt;Outlier_Audit!$H$2,K53&gt;Outlier_Audit!$I$2),"Review","Normal")</f>
        <v>Normal</v>
      </c>
      <c r="AY53" t="str">
        <f t="shared" si="12"/>
        <v>20-29 years</v>
      </c>
      <c r="AZ53" t="str">
        <f>IF(AQ53="","Missing",IF(AQ53&gt;=EDA_Performance!$B$7,"High Growth",IF(AQ53&lt;=EDA_Performance!$B$5,"Low Growth","Middle")))</f>
        <v>Middle</v>
      </c>
    </row>
    <row r="54" spans="1:52">
      <c r="A54" s="12">
        <v>1614236</v>
      </c>
      <c r="B54" s="3" t="s">
        <v>74</v>
      </c>
      <c r="C54" s="3" t="s">
        <v>58</v>
      </c>
      <c r="D54" s="13">
        <v>7</v>
      </c>
      <c r="E54" s="13">
        <v>2511</v>
      </c>
      <c r="F54" s="13">
        <v>25</v>
      </c>
      <c r="G54" s="3" t="s">
        <v>76</v>
      </c>
      <c r="H54" s="13">
        <v>2012</v>
      </c>
      <c r="I54" s="13">
        <v>10</v>
      </c>
      <c r="J54" s="14">
        <v>68.626060485839844</v>
      </c>
      <c r="K54" s="15">
        <v>30000000</v>
      </c>
      <c r="L54" s="15">
        <v>25000000</v>
      </c>
      <c r="M54" s="16">
        <v>75</v>
      </c>
      <c r="N54" s="13">
        <v>6</v>
      </c>
      <c r="O54" s="13">
        <v>3</v>
      </c>
      <c r="P54" s="15">
        <v>12000000</v>
      </c>
      <c r="Q54" s="15">
        <v>12000000</v>
      </c>
      <c r="R54" s="15">
        <v>15000000</v>
      </c>
      <c r="S54" s="16">
        <v>0</v>
      </c>
      <c r="T54" s="3" t="s">
        <v>60</v>
      </c>
      <c r="U54" s="3" t="s">
        <v>52</v>
      </c>
      <c r="V54" s="3" t="s">
        <v>53</v>
      </c>
      <c r="W54" s="16">
        <v>30</v>
      </c>
      <c r="X54" s="16">
        <v>0</v>
      </c>
      <c r="Y54" s="16">
        <v>25</v>
      </c>
      <c r="Z54" s="3" t="s">
        <v>52</v>
      </c>
      <c r="AA54" s="15">
        <v>1500000</v>
      </c>
      <c r="AB54" s="3" t="s">
        <v>52</v>
      </c>
      <c r="AC54" s="3" t="s">
        <v>53</v>
      </c>
      <c r="AD54" s="3" t="s">
        <v>52</v>
      </c>
      <c r="AE54" s="16">
        <v>15</v>
      </c>
      <c r="AF54" s="3" t="s">
        <v>55</v>
      </c>
      <c r="AG54" s="3" t="s">
        <v>55</v>
      </c>
      <c r="AH54" s="3" t="s">
        <v>55</v>
      </c>
      <c r="AI54" s="3" t="s">
        <v>55</v>
      </c>
      <c r="AJ54" s="3" t="s">
        <v>56</v>
      </c>
      <c r="AK54" s="3" t="s">
        <v>57</v>
      </c>
      <c r="AL54" s="13">
        <f t="shared" si="0"/>
        <v>12</v>
      </c>
      <c r="AM54" s="15">
        <f t="shared" si="1"/>
        <v>1500000</v>
      </c>
      <c r="AN54" s="3">
        <f t="shared" si="2"/>
        <v>15</v>
      </c>
      <c r="AO54" s="3" t="str">
        <f t="shared" si="3"/>
        <v>No</v>
      </c>
      <c r="AP54" s="17">
        <f t="shared" si="4"/>
        <v>0.19999999999999996</v>
      </c>
      <c r="AQ54" s="17">
        <f t="shared" si="5"/>
        <v>9.5445115010332149E-2</v>
      </c>
      <c r="AR54" s="17">
        <f t="shared" si="6"/>
        <v>1</v>
      </c>
      <c r="AS54" s="15">
        <f t="shared" si="7"/>
        <v>5000000</v>
      </c>
      <c r="AT54" s="17">
        <f t="shared" si="8"/>
        <v>0.4</v>
      </c>
      <c r="AU54" s="17">
        <f t="shared" si="9"/>
        <v>0.4</v>
      </c>
      <c r="AV54" s="15">
        <f t="shared" si="10"/>
        <v>2500000</v>
      </c>
      <c r="AW54" s="18">
        <f t="shared" si="11"/>
        <v>0.05</v>
      </c>
      <c r="AX54" s="27" t="str">
        <f>IF(OR(K54&lt;Outlier_Audit!$H$2,K54&gt;Outlier_Audit!$I$2),"Review","Normal")</f>
        <v>Normal</v>
      </c>
      <c r="AY54" t="str">
        <f t="shared" si="12"/>
        <v>10-19 years</v>
      </c>
      <c r="AZ54" t="str">
        <f>IF(AQ54="","Missing",IF(AQ54&gt;=EDA_Performance!$B$7,"High Growth",IF(AQ54&lt;=EDA_Performance!$B$5,"Low Growth","Middle")))</f>
        <v>Middle</v>
      </c>
    </row>
    <row r="55" spans="1:52">
      <c r="A55" s="12">
        <v>1614238</v>
      </c>
      <c r="B55" s="3" t="s">
        <v>65</v>
      </c>
      <c r="C55" s="3" t="s">
        <v>50</v>
      </c>
      <c r="D55" s="13">
        <v>800</v>
      </c>
      <c r="E55" s="13">
        <v>1410</v>
      </c>
      <c r="F55" s="13">
        <v>14</v>
      </c>
      <c r="G55" s="3" t="s">
        <v>59</v>
      </c>
      <c r="H55" s="13">
        <v>2014</v>
      </c>
      <c r="I55" s="13">
        <v>40</v>
      </c>
      <c r="J55" s="14">
        <v>1</v>
      </c>
      <c r="K55" s="15">
        <v>26310000000</v>
      </c>
      <c r="L55" s="15">
        <v>22700000000</v>
      </c>
      <c r="M55" s="16">
        <v>87</v>
      </c>
      <c r="N55" s="13">
        <v>800</v>
      </c>
      <c r="O55" s="13">
        <v>800</v>
      </c>
      <c r="P55" s="15">
        <v>2000000000</v>
      </c>
      <c r="Q55" s="15">
        <v>1500000000</v>
      </c>
      <c r="R55" s="15">
        <v>27000000000</v>
      </c>
      <c r="S55" s="16">
        <v>15</v>
      </c>
      <c r="T55" s="3" t="s">
        <v>52</v>
      </c>
      <c r="U55" s="3" t="s">
        <v>52</v>
      </c>
      <c r="V55" s="3" t="s">
        <v>52</v>
      </c>
      <c r="W55" s="16">
        <v>80</v>
      </c>
      <c r="X55" s="16">
        <v>0</v>
      </c>
      <c r="Y55" s="16">
        <v>0</v>
      </c>
      <c r="Z55" s="3" t="s">
        <v>53</v>
      </c>
      <c r="AA55" s="15"/>
      <c r="AB55" s="3" t="s">
        <v>53</v>
      </c>
      <c r="AC55" s="3" t="s">
        <v>53</v>
      </c>
      <c r="AD55" s="3" t="s">
        <v>52</v>
      </c>
      <c r="AE55" s="16">
        <v>25</v>
      </c>
      <c r="AF55" s="3" t="s">
        <v>54</v>
      </c>
      <c r="AG55" s="3" t="s">
        <v>67</v>
      </c>
      <c r="AH55" s="3" t="s">
        <v>55</v>
      </c>
      <c r="AI55" s="3" t="s">
        <v>55</v>
      </c>
      <c r="AJ55" s="3" t="s">
        <v>91</v>
      </c>
      <c r="AK55" s="3" t="s">
        <v>64</v>
      </c>
      <c r="AL55" s="13">
        <f t="shared" si="0"/>
        <v>10</v>
      </c>
      <c r="AM55" s="15">
        <f t="shared" si="1"/>
        <v>0</v>
      </c>
      <c r="AN55" s="3">
        <f t="shared" si="2"/>
        <v>25</v>
      </c>
      <c r="AO55" s="3" t="str">
        <f t="shared" si="3"/>
        <v>Yes</v>
      </c>
      <c r="AP55" s="17">
        <f t="shared" si="4"/>
        <v>0.15903083700440535</v>
      </c>
      <c r="AQ55" s="17">
        <f t="shared" si="5"/>
        <v>7.6582944786143914E-2</v>
      </c>
      <c r="AR55" s="17">
        <f t="shared" si="6"/>
        <v>0</v>
      </c>
      <c r="AS55" s="15">
        <f t="shared" si="7"/>
        <v>32887500</v>
      </c>
      <c r="AT55" s="17">
        <f t="shared" si="8"/>
        <v>7.6016723679209419E-2</v>
      </c>
      <c r="AU55" s="17">
        <f t="shared" si="9"/>
        <v>5.7012542759407071E-2</v>
      </c>
      <c r="AV55" s="15">
        <f t="shared" si="10"/>
        <v>33750000</v>
      </c>
      <c r="AW55" s="18">
        <f t="shared" si="11"/>
        <v>0</v>
      </c>
      <c r="AX55" s="27" t="str">
        <f>IF(OR(K55&lt;Outlier_Audit!$H$2,K55&gt;Outlier_Audit!$I$2),"Review","Normal")</f>
        <v>Review</v>
      </c>
      <c r="AY55" t="str">
        <f t="shared" si="12"/>
        <v>10-19 years</v>
      </c>
      <c r="AZ55" t="str">
        <f>IF(AQ55="","Missing",IF(AQ55&gt;=EDA_Performance!$B$7,"High Growth",IF(AQ55&lt;=EDA_Performance!$B$5,"Low Growth","Middle")))</f>
        <v>Middle</v>
      </c>
    </row>
    <row r="56" spans="1:52">
      <c r="A56" s="12">
        <v>1614246</v>
      </c>
      <c r="B56" s="3" t="s">
        <v>49</v>
      </c>
      <c r="C56" s="3" t="s">
        <v>58</v>
      </c>
      <c r="D56" s="13">
        <v>15</v>
      </c>
      <c r="E56" s="13">
        <v>3100</v>
      </c>
      <c r="F56" s="13">
        <v>31</v>
      </c>
      <c r="G56" s="3" t="s">
        <v>71</v>
      </c>
      <c r="H56" s="13">
        <v>1986</v>
      </c>
      <c r="I56" s="13">
        <v>15</v>
      </c>
      <c r="J56" s="14">
        <v>61.413673400878906</v>
      </c>
      <c r="K56" s="15">
        <v>45000000</v>
      </c>
      <c r="L56" s="15">
        <v>33000000</v>
      </c>
      <c r="M56" s="16">
        <v>70</v>
      </c>
      <c r="N56" s="13">
        <v>10</v>
      </c>
      <c r="O56" s="13">
        <v>10</v>
      </c>
      <c r="P56" s="15">
        <v>15000000</v>
      </c>
      <c r="Q56" s="15">
        <v>20000000</v>
      </c>
      <c r="R56" s="15">
        <v>100000000</v>
      </c>
      <c r="S56" s="16">
        <v>0</v>
      </c>
      <c r="T56" s="3" t="s">
        <v>60</v>
      </c>
      <c r="U56" s="3" t="s">
        <v>53</v>
      </c>
      <c r="V56" s="3" t="s">
        <v>53</v>
      </c>
      <c r="W56" s="16">
        <v>100</v>
      </c>
      <c r="X56" s="16">
        <v>0</v>
      </c>
      <c r="Y56" s="16">
        <v>0</v>
      </c>
      <c r="Z56" s="3" t="s">
        <v>52</v>
      </c>
      <c r="AA56" s="15">
        <v>15000000</v>
      </c>
      <c r="AB56" s="3" t="s">
        <v>52</v>
      </c>
      <c r="AC56" s="3" t="s">
        <v>52</v>
      </c>
      <c r="AD56" s="3" t="s">
        <v>52</v>
      </c>
      <c r="AE56" s="16">
        <v>3</v>
      </c>
      <c r="AF56" s="3" t="s">
        <v>55</v>
      </c>
      <c r="AG56" s="3" t="s">
        <v>55</v>
      </c>
      <c r="AH56" s="3" t="s">
        <v>54</v>
      </c>
      <c r="AI56" s="3" t="s">
        <v>55</v>
      </c>
      <c r="AJ56" s="3" t="s">
        <v>63</v>
      </c>
      <c r="AK56" s="3" t="s">
        <v>57</v>
      </c>
      <c r="AL56" s="13">
        <f t="shared" si="0"/>
        <v>38</v>
      </c>
      <c r="AM56" s="15">
        <f t="shared" si="1"/>
        <v>15000000</v>
      </c>
      <c r="AN56" s="3">
        <f t="shared" si="2"/>
        <v>3</v>
      </c>
      <c r="AO56" s="3" t="str">
        <f t="shared" si="3"/>
        <v>No</v>
      </c>
      <c r="AP56" s="17">
        <f t="shared" si="4"/>
        <v>0.36363636363636354</v>
      </c>
      <c r="AQ56" s="17">
        <f t="shared" si="5"/>
        <v>0.16774841624228443</v>
      </c>
      <c r="AR56" s="17">
        <f t="shared" si="6"/>
        <v>0</v>
      </c>
      <c r="AS56" s="15">
        <f t="shared" si="7"/>
        <v>4500000</v>
      </c>
      <c r="AT56" s="17">
        <f t="shared" si="8"/>
        <v>0.33333333333333331</v>
      </c>
      <c r="AU56" s="17">
        <f t="shared" si="9"/>
        <v>0.44444444444444442</v>
      </c>
      <c r="AV56" s="15">
        <f t="shared" si="10"/>
        <v>10000000</v>
      </c>
      <c r="AW56" s="18">
        <f t="shared" si="11"/>
        <v>0.33333333333333331</v>
      </c>
      <c r="AX56" s="27" t="str">
        <f>IF(OR(K56&lt;Outlier_Audit!$H$2,K56&gt;Outlier_Audit!$I$2),"Review","Normal")</f>
        <v>Normal</v>
      </c>
      <c r="AY56" t="str">
        <f t="shared" si="12"/>
        <v>30+ years</v>
      </c>
      <c r="AZ56" t="str">
        <f>IF(AQ56="","Missing",IF(AQ56&gt;=EDA_Performance!$B$7,"High Growth",IF(AQ56&lt;=EDA_Performance!$B$5,"Low Growth","Middle")))</f>
        <v>Middle</v>
      </c>
    </row>
    <row r="57" spans="1:52">
      <c r="A57" s="12">
        <v>1614254</v>
      </c>
      <c r="B57" s="3" t="s">
        <v>49</v>
      </c>
      <c r="C57" s="3" t="s">
        <v>58</v>
      </c>
      <c r="D57" s="13">
        <v>7</v>
      </c>
      <c r="E57" s="13">
        <v>1410</v>
      </c>
      <c r="F57" s="13">
        <v>14</v>
      </c>
      <c r="G57" s="3" t="s">
        <v>59</v>
      </c>
      <c r="H57" s="13">
        <v>1995</v>
      </c>
      <c r="I57" s="13">
        <v>30</v>
      </c>
      <c r="J57" s="14">
        <v>55.699169158935547</v>
      </c>
      <c r="K57" s="15">
        <v>50000000</v>
      </c>
      <c r="L57" s="15">
        <v>20000000</v>
      </c>
      <c r="M57" s="16">
        <v>100</v>
      </c>
      <c r="N57" s="13">
        <v>7</v>
      </c>
      <c r="O57" s="13">
        <v>4</v>
      </c>
      <c r="P57" s="15">
        <v>5000000</v>
      </c>
      <c r="Q57" s="15">
        <v>30000000</v>
      </c>
      <c r="R57" s="15">
        <v>57000000</v>
      </c>
      <c r="S57" s="16">
        <v>0</v>
      </c>
      <c r="T57" s="3" t="s">
        <v>60</v>
      </c>
      <c r="U57" s="3" t="s">
        <v>53</v>
      </c>
      <c r="V57" s="3" t="s">
        <v>53</v>
      </c>
      <c r="W57" s="16">
        <v>70</v>
      </c>
      <c r="X57" s="16">
        <v>0</v>
      </c>
      <c r="Y57" s="16">
        <v>0</v>
      </c>
      <c r="Z57" s="3" t="s">
        <v>53</v>
      </c>
      <c r="AA57" s="15"/>
      <c r="AB57" s="3" t="s">
        <v>52</v>
      </c>
      <c r="AC57" s="3" t="s">
        <v>53</v>
      </c>
      <c r="AD57" s="3" t="s">
        <v>52</v>
      </c>
      <c r="AE57" s="16">
        <v>7</v>
      </c>
      <c r="AF57" s="3" t="s">
        <v>62</v>
      </c>
      <c r="AG57" s="3" t="s">
        <v>62</v>
      </c>
      <c r="AH57" s="3" t="s">
        <v>62</v>
      </c>
      <c r="AI57" s="3" t="s">
        <v>54</v>
      </c>
      <c r="AJ57" s="3" t="s">
        <v>81</v>
      </c>
      <c r="AK57" s="3" t="s">
        <v>64</v>
      </c>
      <c r="AL57" s="13">
        <f t="shared" si="0"/>
        <v>29</v>
      </c>
      <c r="AM57" s="15">
        <f t="shared" si="1"/>
        <v>0</v>
      </c>
      <c r="AN57" s="3">
        <f t="shared" si="2"/>
        <v>7</v>
      </c>
      <c r="AO57" s="3" t="str">
        <f t="shared" si="3"/>
        <v>No</v>
      </c>
      <c r="AP57" s="17">
        <f t="shared" si="4"/>
        <v>1.5</v>
      </c>
      <c r="AQ57" s="17">
        <f t="shared" si="5"/>
        <v>0.58113883008418976</v>
      </c>
      <c r="AR57" s="17">
        <f t="shared" si="6"/>
        <v>0.75</v>
      </c>
      <c r="AS57" s="15">
        <f t="shared" si="7"/>
        <v>7142857.1428571427</v>
      </c>
      <c r="AT57" s="17">
        <f t="shared" si="8"/>
        <v>0.1</v>
      </c>
      <c r="AU57" s="17">
        <f t="shared" si="9"/>
        <v>0.6</v>
      </c>
      <c r="AV57" s="15">
        <f t="shared" si="10"/>
        <v>8142857.1428571427</v>
      </c>
      <c r="AW57" s="18">
        <f t="shared" si="11"/>
        <v>0</v>
      </c>
      <c r="AX57" s="27" t="str">
        <f>IF(OR(K57&lt;Outlier_Audit!$H$2,K57&gt;Outlier_Audit!$I$2),"Review","Normal")</f>
        <v>Normal</v>
      </c>
      <c r="AY57" t="str">
        <f t="shared" si="12"/>
        <v>20-29 years</v>
      </c>
      <c r="AZ57" t="str">
        <f>IF(AQ57="","Missing",IF(AQ57&gt;=EDA_Performance!$B$7,"High Growth",IF(AQ57&lt;=EDA_Performance!$B$5,"Low Growth","Middle")))</f>
        <v>High Growth</v>
      </c>
    </row>
    <row r="58" spans="1:52">
      <c r="A58" s="12">
        <v>1614255</v>
      </c>
      <c r="B58" s="3" t="s">
        <v>49</v>
      </c>
      <c r="C58" s="3" t="s">
        <v>66</v>
      </c>
      <c r="D58" s="13">
        <v>25</v>
      </c>
      <c r="E58" s="13">
        <v>1520</v>
      </c>
      <c r="F58" s="13">
        <v>15</v>
      </c>
      <c r="G58" s="3" t="s">
        <v>92</v>
      </c>
      <c r="H58" s="13">
        <v>2003</v>
      </c>
      <c r="I58" s="13">
        <v>25</v>
      </c>
      <c r="J58" s="14">
        <v>1.1482189893722534</v>
      </c>
      <c r="K58" s="15">
        <v>200000000</v>
      </c>
      <c r="L58" s="15">
        <v>150000000</v>
      </c>
      <c r="M58" s="16">
        <v>80</v>
      </c>
      <c r="N58" s="13">
        <v>25</v>
      </c>
      <c r="O58" s="13">
        <v>25</v>
      </c>
      <c r="P58" s="15">
        <v>40000000</v>
      </c>
      <c r="Q58" s="15">
        <v>60000000</v>
      </c>
      <c r="R58" s="15">
        <v>400000000</v>
      </c>
      <c r="S58" s="16">
        <v>0</v>
      </c>
      <c r="T58" s="3" t="s">
        <v>52</v>
      </c>
      <c r="U58" s="3" t="s">
        <v>52</v>
      </c>
      <c r="V58" s="3" t="s">
        <v>53</v>
      </c>
      <c r="W58" s="16">
        <v>40</v>
      </c>
      <c r="X58" s="16">
        <v>0</v>
      </c>
      <c r="Y58" s="16">
        <v>0</v>
      </c>
      <c r="Z58" s="3" t="s">
        <v>52</v>
      </c>
      <c r="AA58" s="15"/>
      <c r="AB58" s="3" t="s">
        <v>52</v>
      </c>
      <c r="AC58" s="3" t="s">
        <v>52</v>
      </c>
      <c r="AD58" s="3" t="s">
        <v>52</v>
      </c>
      <c r="AE58" s="16">
        <v>2</v>
      </c>
      <c r="AF58" s="3" t="s">
        <v>54</v>
      </c>
      <c r="AG58" s="3" t="s">
        <v>55</v>
      </c>
      <c r="AH58" s="3" t="s">
        <v>62</v>
      </c>
      <c r="AI58" s="3" t="s">
        <v>55</v>
      </c>
      <c r="AJ58" s="3" t="s">
        <v>70</v>
      </c>
      <c r="AK58" s="3" t="s">
        <v>57</v>
      </c>
      <c r="AL58" s="13">
        <f t="shared" si="0"/>
        <v>21</v>
      </c>
      <c r="AM58" s="15">
        <f t="shared" si="1"/>
        <v>0</v>
      </c>
      <c r="AN58" s="3">
        <f t="shared" si="2"/>
        <v>2</v>
      </c>
      <c r="AO58" s="3" t="str">
        <f t="shared" si="3"/>
        <v>No</v>
      </c>
      <c r="AP58" s="17">
        <f t="shared" si="4"/>
        <v>0.33333333333333326</v>
      </c>
      <c r="AQ58" s="17">
        <f t="shared" si="5"/>
        <v>0.15470053837925146</v>
      </c>
      <c r="AR58" s="17">
        <f t="shared" si="6"/>
        <v>0</v>
      </c>
      <c r="AS58" s="15">
        <f t="shared" si="7"/>
        <v>8000000</v>
      </c>
      <c r="AT58" s="17">
        <f t="shared" si="8"/>
        <v>0.2</v>
      </c>
      <c r="AU58" s="17">
        <f t="shared" si="9"/>
        <v>0.3</v>
      </c>
      <c r="AV58" s="15">
        <f t="shared" si="10"/>
        <v>16000000</v>
      </c>
      <c r="AW58" s="18">
        <f t="shared" si="11"/>
        <v>0</v>
      </c>
      <c r="AX58" s="27" t="str">
        <f>IF(OR(K58&lt;Outlier_Audit!$H$2,K58&gt;Outlier_Audit!$I$2),"Review","Normal")</f>
        <v>Normal</v>
      </c>
      <c r="AY58" t="str">
        <f t="shared" si="12"/>
        <v>20-29 years</v>
      </c>
      <c r="AZ58" t="str">
        <f>IF(AQ58="","Missing",IF(AQ58&gt;=EDA_Performance!$B$7,"High Growth",IF(AQ58&lt;=EDA_Performance!$B$5,"Low Growth","Middle")))</f>
        <v>Middle</v>
      </c>
    </row>
    <row r="59" spans="1:52">
      <c r="A59" s="12">
        <v>1614256</v>
      </c>
      <c r="B59" s="3" t="s">
        <v>49</v>
      </c>
      <c r="C59" s="3" t="s">
        <v>50</v>
      </c>
      <c r="D59" s="13">
        <v>262</v>
      </c>
      <c r="E59" s="13">
        <v>2599</v>
      </c>
      <c r="F59" s="13">
        <v>25</v>
      </c>
      <c r="G59" s="3" t="s">
        <v>76</v>
      </c>
      <c r="H59" s="13">
        <v>1983</v>
      </c>
      <c r="I59" s="13">
        <v>1</v>
      </c>
      <c r="J59" s="14">
        <v>1</v>
      </c>
      <c r="K59" s="15">
        <v>18000000</v>
      </c>
      <c r="L59" s="15">
        <v>4000000</v>
      </c>
      <c r="M59" s="16">
        <v>80</v>
      </c>
      <c r="N59" s="13">
        <v>262</v>
      </c>
      <c r="O59" s="13">
        <v>262</v>
      </c>
      <c r="P59" s="15"/>
      <c r="Q59" s="15">
        <v>14000000</v>
      </c>
      <c r="R59" s="15">
        <v>10000000</v>
      </c>
      <c r="S59" s="16">
        <v>0</v>
      </c>
      <c r="T59" s="3" t="s">
        <v>52</v>
      </c>
      <c r="U59" s="3" t="s">
        <v>52</v>
      </c>
      <c r="V59" s="3" t="s">
        <v>53</v>
      </c>
      <c r="W59" s="16">
        <v>0</v>
      </c>
      <c r="X59" s="16">
        <v>0</v>
      </c>
      <c r="Y59" s="16">
        <v>0</v>
      </c>
      <c r="Z59" s="3" t="s">
        <v>53</v>
      </c>
      <c r="AA59" s="15"/>
      <c r="AB59" s="3" t="s">
        <v>53</v>
      </c>
      <c r="AC59" s="3" t="s">
        <v>53</v>
      </c>
      <c r="AD59" s="3" t="s">
        <v>52</v>
      </c>
      <c r="AE59" s="16">
        <v>10</v>
      </c>
      <c r="AF59" s="3" t="s">
        <v>54</v>
      </c>
      <c r="AG59" s="3" t="s">
        <v>54</v>
      </c>
      <c r="AH59" s="3" t="s">
        <v>62</v>
      </c>
      <c r="AI59" s="3" t="s">
        <v>67</v>
      </c>
      <c r="AJ59" s="3" t="s">
        <v>56</v>
      </c>
      <c r="AK59" s="3" t="s">
        <v>57</v>
      </c>
      <c r="AL59" s="13">
        <f t="shared" si="0"/>
        <v>41</v>
      </c>
      <c r="AM59" s="15">
        <f t="shared" si="1"/>
        <v>0</v>
      </c>
      <c r="AN59" s="3">
        <f t="shared" si="2"/>
        <v>10</v>
      </c>
      <c r="AO59" s="3" t="str">
        <f t="shared" si="3"/>
        <v>No</v>
      </c>
      <c r="AP59" s="17">
        <f t="shared" si="4"/>
        <v>3.5</v>
      </c>
      <c r="AQ59" s="17">
        <f t="shared" si="5"/>
        <v>1.1213203435596424</v>
      </c>
      <c r="AR59" s="17">
        <f t="shared" si="6"/>
        <v>0</v>
      </c>
      <c r="AS59" s="15">
        <f t="shared" si="7"/>
        <v>68702.290076335878</v>
      </c>
      <c r="AT59" s="17" t="str">
        <f t="shared" si="8"/>
        <v/>
      </c>
      <c r="AU59" s="17">
        <f t="shared" si="9"/>
        <v>0.77777777777777779</v>
      </c>
      <c r="AV59" s="15">
        <f t="shared" si="10"/>
        <v>38167.938931297707</v>
      </c>
      <c r="AW59" s="18">
        <f t="shared" si="11"/>
        <v>0</v>
      </c>
      <c r="AX59" s="27" t="str">
        <f>IF(OR(K59&lt;Outlier_Audit!$H$2,K59&gt;Outlier_Audit!$I$2),"Review","Normal")</f>
        <v>Normal</v>
      </c>
      <c r="AY59" t="str">
        <f t="shared" si="12"/>
        <v>30+ years</v>
      </c>
      <c r="AZ59" t="str">
        <f>IF(AQ59="","Missing",IF(AQ59&gt;=EDA_Performance!$B$7,"High Growth",IF(AQ59&lt;=EDA_Performance!$B$5,"Low Growth","Middle")))</f>
        <v>High Growth</v>
      </c>
    </row>
    <row r="60" spans="1:52">
      <c r="A60" s="12">
        <v>1614258</v>
      </c>
      <c r="B60" s="3" t="s">
        <v>65</v>
      </c>
      <c r="C60" s="3" t="s">
        <v>66</v>
      </c>
      <c r="D60" s="13">
        <v>12</v>
      </c>
      <c r="E60" s="13">
        <v>3220</v>
      </c>
      <c r="F60" s="13">
        <v>32</v>
      </c>
      <c r="G60" s="3" t="s">
        <v>93</v>
      </c>
      <c r="H60" s="13">
        <v>2005</v>
      </c>
      <c r="I60" s="13">
        <v>35</v>
      </c>
      <c r="J60" s="14">
        <v>53.759540557861328</v>
      </c>
      <c r="K60" s="15">
        <v>20000000</v>
      </c>
      <c r="L60" s="15">
        <v>15000000</v>
      </c>
      <c r="M60" s="16">
        <v>50</v>
      </c>
      <c r="N60" s="13">
        <v>6</v>
      </c>
      <c r="O60" s="13">
        <v>5</v>
      </c>
      <c r="P60" s="15">
        <v>8000000</v>
      </c>
      <c r="Q60" s="15">
        <v>3000000</v>
      </c>
      <c r="R60" s="15">
        <v>50000000</v>
      </c>
      <c r="S60" s="16">
        <v>0</v>
      </c>
      <c r="T60" s="3" t="s">
        <v>60</v>
      </c>
      <c r="U60" s="3" t="s">
        <v>53</v>
      </c>
      <c r="V60" s="3" t="s">
        <v>52</v>
      </c>
      <c r="W60" s="16">
        <v>90</v>
      </c>
      <c r="X60" s="16">
        <v>0</v>
      </c>
      <c r="Y60" s="16">
        <v>0</v>
      </c>
      <c r="Z60" s="3" t="s">
        <v>53</v>
      </c>
      <c r="AA60" s="15"/>
      <c r="AB60" s="3" t="s">
        <v>53</v>
      </c>
      <c r="AC60" s="3" t="s">
        <v>53</v>
      </c>
      <c r="AD60" s="3" t="s">
        <v>52</v>
      </c>
      <c r="AE60" s="16">
        <v>5</v>
      </c>
      <c r="AF60" s="3" t="s">
        <v>54</v>
      </c>
      <c r="AG60" s="3" t="s">
        <v>61</v>
      </c>
      <c r="AH60" s="3" t="s">
        <v>67</v>
      </c>
      <c r="AI60" s="3" t="s">
        <v>62</v>
      </c>
      <c r="AJ60" s="3" t="s">
        <v>70</v>
      </c>
      <c r="AK60" s="3" t="s">
        <v>75</v>
      </c>
      <c r="AL60" s="13">
        <f t="shared" si="0"/>
        <v>19</v>
      </c>
      <c r="AM60" s="15">
        <f t="shared" si="1"/>
        <v>0</v>
      </c>
      <c r="AN60" s="3">
        <f t="shared" si="2"/>
        <v>5</v>
      </c>
      <c r="AO60" s="3" t="str">
        <f t="shared" si="3"/>
        <v>No</v>
      </c>
      <c r="AP60" s="17">
        <f t="shared" si="4"/>
        <v>0.33333333333333326</v>
      </c>
      <c r="AQ60" s="17">
        <f t="shared" si="5"/>
        <v>0.15470053837925146</v>
      </c>
      <c r="AR60" s="17">
        <f t="shared" si="6"/>
        <v>0.19999999999999996</v>
      </c>
      <c r="AS60" s="15">
        <f t="shared" si="7"/>
        <v>3333333.3333333335</v>
      </c>
      <c r="AT60" s="17">
        <f t="shared" si="8"/>
        <v>0.4</v>
      </c>
      <c r="AU60" s="17">
        <f t="shared" si="9"/>
        <v>0.15</v>
      </c>
      <c r="AV60" s="15">
        <f t="shared" si="10"/>
        <v>8333333.333333333</v>
      </c>
      <c r="AW60" s="18">
        <f t="shared" si="11"/>
        <v>0</v>
      </c>
      <c r="AX60" s="27" t="str">
        <f>IF(OR(K60&lt;Outlier_Audit!$H$2,K60&gt;Outlier_Audit!$I$2),"Review","Normal")</f>
        <v>Normal</v>
      </c>
      <c r="AY60" t="str">
        <f t="shared" si="12"/>
        <v>10-19 years</v>
      </c>
      <c r="AZ60" t="str">
        <f>IF(AQ60="","Missing",IF(AQ60&gt;=EDA_Performance!$B$7,"High Growth",IF(AQ60&lt;=EDA_Performance!$B$5,"Low Growth","Middle")))</f>
        <v>Middle</v>
      </c>
    </row>
    <row r="61" spans="1:52">
      <c r="A61" s="12">
        <v>1614260</v>
      </c>
      <c r="B61" s="3" t="s">
        <v>49</v>
      </c>
      <c r="C61" s="3" t="s">
        <v>58</v>
      </c>
      <c r="D61" s="13">
        <v>8</v>
      </c>
      <c r="E61" s="13">
        <v>1622</v>
      </c>
      <c r="F61" s="13">
        <v>16</v>
      </c>
      <c r="G61" s="3" t="s">
        <v>88</v>
      </c>
      <c r="H61" s="13">
        <v>2012</v>
      </c>
      <c r="I61" s="13">
        <v>20</v>
      </c>
      <c r="J61" s="14">
        <v>72.491691589355469</v>
      </c>
      <c r="K61" s="15">
        <v>40000000</v>
      </c>
      <c r="L61" s="15">
        <v>30000000</v>
      </c>
      <c r="M61" s="16">
        <v>40</v>
      </c>
      <c r="N61" s="13">
        <v>8</v>
      </c>
      <c r="O61" s="13">
        <v>8</v>
      </c>
      <c r="P61" s="15">
        <v>19000000</v>
      </c>
      <c r="Q61" s="15">
        <v>15000000</v>
      </c>
      <c r="R61" s="15">
        <v>10000000</v>
      </c>
      <c r="S61" s="16">
        <v>0</v>
      </c>
      <c r="T61" s="3" t="s">
        <v>60</v>
      </c>
      <c r="U61" s="3" t="s">
        <v>52</v>
      </c>
      <c r="V61" s="3" t="s">
        <v>53</v>
      </c>
      <c r="W61" s="16">
        <v>60</v>
      </c>
      <c r="X61" s="16">
        <v>0</v>
      </c>
      <c r="Y61" s="16">
        <v>0</v>
      </c>
      <c r="Z61" s="3" t="s">
        <v>53</v>
      </c>
      <c r="AA61" s="15"/>
      <c r="AB61" s="3" t="s">
        <v>52</v>
      </c>
      <c r="AC61" s="3" t="s">
        <v>52</v>
      </c>
      <c r="AD61" s="3" t="s">
        <v>52</v>
      </c>
      <c r="AE61" s="16">
        <v>10</v>
      </c>
      <c r="AF61" s="3" t="s">
        <v>61</v>
      </c>
      <c r="AG61" s="3" t="s">
        <v>54</v>
      </c>
      <c r="AH61" s="3" t="s">
        <v>67</v>
      </c>
      <c r="AI61" s="3" t="s">
        <v>55</v>
      </c>
      <c r="AJ61" s="3" t="s">
        <v>63</v>
      </c>
      <c r="AK61" s="3" t="s">
        <v>57</v>
      </c>
      <c r="AL61" s="13">
        <f t="shared" si="0"/>
        <v>12</v>
      </c>
      <c r="AM61" s="15">
        <f t="shared" si="1"/>
        <v>0</v>
      </c>
      <c r="AN61" s="3">
        <f t="shared" si="2"/>
        <v>10</v>
      </c>
      <c r="AO61" s="3" t="str">
        <f t="shared" si="3"/>
        <v>No</v>
      </c>
      <c r="AP61" s="17">
        <f t="shared" si="4"/>
        <v>0.33333333333333326</v>
      </c>
      <c r="AQ61" s="17">
        <f t="shared" si="5"/>
        <v>0.15470053837925146</v>
      </c>
      <c r="AR61" s="17">
        <f t="shared" si="6"/>
        <v>0</v>
      </c>
      <c r="AS61" s="15">
        <f t="shared" si="7"/>
        <v>5000000</v>
      </c>
      <c r="AT61" s="17">
        <f t="shared" si="8"/>
        <v>0.47499999999999998</v>
      </c>
      <c r="AU61" s="17">
        <f t="shared" si="9"/>
        <v>0.375</v>
      </c>
      <c r="AV61" s="15">
        <f t="shared" si="10"/>
        <v>1250000</v>
      </c>
      <c r="AW61" s="18">
        <f t="shared" si="11"/>
        <v>0</v>
      </c>
      <c r="AX61" s="27" t="str">
        <f>IF(OR(K61&lt;Outlier_Audit!$H$2,K61&gt;Outlier_Audit!$I$2),"Review","Normal")</f>
        <v>Normal</v>
      </c>
      <c r="AY61" t="str">
        <f t="shared" si="12"/>
        <v>10-19 years</v>
      </c>
      <c r="AZ61" t="str">
        <f>IF(AQ61="","Missing",IF(AQ61&gt;=EDA_Performance!$B$7,"High Growth",IF(AQ61&lt;=EDA_Performance!$B$5,"Low Growth","Middle")))</f>
        <v>Middle</v>
      </c>
    </row>
    <row r="62" spans="1:52">
      <c r="A62" s="12">
        <v>1614261</v>
      </c>
      <c r="B62" s="3" t="s">
        <v>49</v>
      </c>
      <c r="C62" s="3" t="s">
        <v>66</v>
      </c>
      <c r="D62" s="13">
        <v>6</v>
      </c>
      <c r="E62" s="13">
        <v>1061</v>
      </c>
      <c r="F62" s="13">
        <v>10</v>
      </c>
      <c r="G62" s="3" t="s">
        <v>51</v>
      </c>
      <c r="H62" s="13">
        <v>2009</v>
      </c>
      <c r="I62" s="13">
        <v>16</v>
      </c>
      <c r="J62" s="14">
        <v>1.4072496891021729</v>
      </c>
      <c r="K62" s="15">
        <v>38000000</v>
      </c>
      <c r="L62" s="15">
        <v>42000000</v>
      </c>
      <c r="M62" s="16">
        <v>55</v>
      </c>
      <c r="N62" s="13">
        <v>6</v>
      </c>
      <c r="O62" s="13">
        <v>6</v>
      </c>
      <c r="P62" s="15">
        <v>18000000</v>
      </c>
      <c r="Q62" s="15">
        <v>27000000</v>
      </c>
      <c r="R62" s="15">
        <v>20000000</v>
      </c>
      <c r="S62" s="16">
        <v>0</v>
      </c>
      <c r="T62" s="3" t="s">
        <v>60</v>
      </c>
      <c r="U62" s="3" t="s">
        <v>53</v>
      </c>
      <c r="V62" s="3" t="s">
        <v>53</v>
      </c>
      <c r="W62" s="16">
        <v>80</v>
      </c>
      <c r="X62" s="16">
        <v>0</v>
      </c>
      <c r="Y62" s="16">
        <v>0</v>
      </c>
      <c r="Z62" s="3" t="s">
        <v>53</v>
      </c>
      <c r="AA62" s="15"/>
      <c r="AB62" s="3" t="s">
        <v>53</v>
      </c>
      <c r="AC62" s="3" t="s">
        <v>53</v>
      </c>
      <c r="AD62" s="3" t="s">
        <v>52</v>
      </c>
      <c r="AE62" s="16">
        <v>5</v>
      </c>
      <c r="AF62" s="3" t="s">
        <v>55</v>
      </c>
      <c r="AG62" s="3" t="s">
        <v>67</v>
      </c>
      <c r="AH62" s="3" t="s">
        <v>62</v>
      </c>
      <c r="AI62" s="3" t="s">
        <v>67</v>
      </c>
      <c r="AJ62" s="3" t="s">
        <v>63</v>
      </c>
      <c r="AK62" s="3" t="s">
        <v>75</v>
      </c>
      <c r="AL62" s="13">
        <f t="shared" si="0"/>
        <v>15</v>
      </c>
      <c r="AM62" s="15">
        <f t="shared" si="1"/>
        <v>0</v>
      </c>
      <c r="AN62" s="3">
        <f t="shared" si="2"/>
        <v>5</v>
      </c>
      <c r="AO62" s="3" t="str">
        <f t="shared" si="3"/>
        <v>No</v>
      </c>
      <c r="AP62" s="17">
        <f t="shared" si="4"/>
        <v>-9.5238095238095233E-2</v>
      </c>
      <c r="AQ62" s="17">
        <f t="shared" si="5"/>
        <v>-4.8810268788658129E-2</v>
      </c>
      <c r="AR62" s="17">
        <f t="shared" si="6"/>
        <v>0</v>
      </c>
      <c r="AS62" s="15">
        <f t="shared" si="7"/>
        <v>6333333.333333333</v>
      </c>
      <c r="AT62" s="17">
        <f t="shared" si="8"/>
        <v>0.47368421052631576</v>
      </c>
      <c r="AU62" s="17">
        <f t="shared" si="9"/>
        <v>0.71052631578947367</v>
      </c>
      <c r="AV62" s="15">
        <f t="shared" si="10"/>
        <v>3333333.3333333335</v>
      </c>
      <c r="AW62" s="18">
        <f t="shared" si="11"/>
        <v>0</v>
      </c>
      <c r="AX62" s="27" t="str">
        <f>IF(OR(K62&lt;Outlier_Audit!$H$2,K62&gt;Outlier_Audit!$I$2),"Review","Normal")</f>
        <v>Normal</v>
      </c>
      <c r="AY62" t="str">
        <f t="shared" si="12"/>
        <v>10-19 years</v>
      </c>
      <c r="AZ62" t="str">
        <f>IF(AQ62="","Missing",IF(AQ62&gt;=EDA_Performance!$B$7,"High Growth",IF(AQ62&lt;=EDA_Performance!$B$5,"Low Growth","Middle")))</f>
        <v>Low Growth</v>
      </c>
    </row>
    <row r="63" spans="1:52">
      <c r="A63" s="12">
        <v>1614267</v>
      </c>
      <c r="B63" s="3" t="s">
        <v>80</v>
      </c>
      <c r="C63" s="3" t="s">
        <v>66</v>
      </c>
      <c r="D63" s="13">
        <v>16</v>
      </c>
      <c r="E63" s="13">
        <v>1040</v>
      </c>
      <c r="F63" s="13">
        <v>10</v>
      </c>
      <c r="G63" s="3" t="s">
        <v>51</v>
      </c>
      <c r="H63" s="13">
        <v>2015</v>
      </c>
      <c r="I63" s="13">
        <v>10</v>
      </c>
      <c r="J63" s="14">
        <v>24.621110916137695</v>
      </c>
      <c r="K63" s="15">
        <v>120000000</v>
      </c>
      <c r="L63" s="15">
        <v>100000000</v>
      </c>
      <c r="M63" s="16">
        <v>80</v>
      </c>
      <c r="N63" s="13">
        <v>16</v>
      </c>
      <c r="O63" s="13">
        <v>5</v>
      </c>
      <c r="P63" s="15">
        <v>50000000</v>
      </c>
      <c r="Q63" s="15">
        <v>60000000</v>
      </c>
      <c r="R63" s="15">
        <v>150000000</v>
      </c>
      <c r="S63" s="16">
        <v>0</v>
      </c>
      <c r="T63" s="3" t="s">
        <v>60</v>
      </c>
      <c r="U63" s="3" t="s">
        <v>53</v>
      </c>
      <c r="V63" s="3" t="s">
        <v>53</v>
      </c>
      <c r="W63" s="16">
        <v>20</v>
      </c>
      <c r="X63" s="16">
        <v>0</v>
      </c>
      <c r="Y63" s="16">
        <v>20</v>
      </c>
      <c r="Z63" s="3" t="s">
        <v>53</v>
      </c>
      <c r="AA63" s="15"/>
      <c r="AB63" s="3" t="s">
        <v>53</v>
      </c>
      <c r="AC63" s="3" t="s">
        <v>53</v>
      </c>
      <c r="AD63" s="3" t="s">
        <v>52</v>
      </c>
      <c r="AE63" s="16">
        <v>1</v>
      </c>
      <c r="AF63" s="3" t="s">
        <v>67</v>
      </c>
      <c r="AG63" s="3" t="s">
        <v>67</v>
      </c>
      <c r="AH63" s="3" t="s">
        <v>67</v>
      </c>
      <c r="AI63" s="3" t="s">
        <v>55</v>
      </c>
      <c r="AJ63" s="3" t="s">
        <v>56</v>
      </c>
      <c r="AK63" s="3" t="s">
        <v>57</v>
      </c>
      <c r="AL63" s="13">
        <f t="shared" si="0"/>
        <v>9</v>
      </c>
      <c r="AM63" s="15">
        <f t="shared" si="1"/>
        <v>0</v>
      </c>
      <c r="AN63" s="3">
        <f t="shared" si="2"/>
        <v>1</v>
      </c>
      <c r="AO63" s="3" t="str">
        <f t="shared" si="3"/>
        <v>No</v>
      </c>
      <c r="AP63" s="17">
        <f t="shared" si="4"/>
        <v>0.19999999999999996</v>
      </c>
      <c r="AQ63" s="17">
        <f t="shared" si="5"/>
        <v>9.5445115010332149E-2</v>
      </c>
      <c r="AR63" s="17">
        <f t="shared" si="6"/>
        <v>2.2000000000000002</v>
      </c>
      <c r="AS63" s="15">
        <f t="shared" si="7"/>
        <v>7500000</v>
      </c>
      <c r="AT63" s="17">
        <f t="shared" si="8"/>
        <v>0.41666666666666669</v>
      </c>
      <c r="AU63" s="17">
        <f t="shared" si="9"/>
        <v>0.5</v>
      </c>
      <c r="AV63" s="15">
        <f t="shared" si="10"/>
        <v>9375000</v>
      </c>
      <c r="AW63" s="18">
        <f t="shared" si="11"/>
        <v>0</v>
      </c>
      <c r="AX63" s="27" t="str">
        <f>IF(OR(K63&lt;Outlier_Audit!$H$2,K63&gt;Outlier_Audit!$I$2),"Review","Normal")</f>
        <v>Normal</v>
      </c>
      <c r="AY63" t="str">
        <f t="shared" si="12"/>
        <v>&lt;10 years</v>
      </c>
      <c r="AZ63" t="str">
        <f>IF(AQ63="","Missing",IF(AQ63&gt;=EDA_Performance!$B$7,"High Growth",IF(AQ63&lt;=EDA_Performance!$B$5,"Low Growth","Middle")))</f>
        <v>Middle</v>
      </c>
    </row>
    <row r="64" spans="1:52">
      <c r="A64" s="12">
        <v>1614268</v>
      </c>
      <c r="B64" s="3" t="s">
        <v>65</v>
      </c>
      <c r="C64" s="3" t="s">
        <v>50</v>
      </c>
      <c r="D64" s="13">
        <v>250</v>
      </c>
      <c r="E64" s="13">
        <v>2392</v>
      </c>
      <c r="F64" s="13">
        <v>23</v>
      </c>
      <c r="G64" s="3" t="s">
        <v>83</v>
      </c>
      <c r="H64" s="13">
        <v>2000</v>
      </c>
      <c r="I64" s="13">
        <v>30</v>
      </c>
      <c r="J64" s="14">
        <v>1</v>
      </c>
      <c r="K64" s="15">
        <v>8000000000</v>
      </c>
      <c r="L64" s="15">
        <v>2000000000</v>
      </c>
      <c r="M64" s="16">
        <v>80</v>
      </c>
      <c r="N64" s="13">
        <v>350</v>
      </c>
      <c r="O64" s="13">
        <v>150</v>
      </c>
      <c r="P64" s="15">
        <v>500000000</v>
      </c>
      <c r="Q64" s="15">
        <v>2000000000</v>
      </c>
      <c r="R64" s="15">
        <v>30000000000</v>
      </c>
      <c r="S64" s="16">
        <v>0</v>
      </c>
      <c r="T64" s="3" t="s">
        <v>52</v>
      </c>
      <c r="U64" s="3" t="s">
        <v>52</v>
      </c>
      <c r="V64" s="3" t="s">
        <v>53</v>
      </c>
      <c r="W64" s="16">
        <v>50</v>
      </c>
      <c r="X64" s="16">
        <v>0</v>
      </c>
      <c r="Y64" s="16">
        <v>50</v>
      </c>
      <c r="Z64" s="3" t="s">
        <v>53</v>
      </c>
      <c r="AA64" s="15"/>
      <c r="AB64" s="3" t="s">
        <v>53</v>
      </c>
      <c r="AC64" s="3" t="s">
        <v>53</v>
      </c>
      <c r="AD64" s="3" t="s">
        <v>52</v>
      </c>
      <c r="AE64" s="16">
        <v>4</v>
      </c>
      <c r="AF64" s="3" t="s">
        <v>67</v>
      </c>
      <c r="AG64" s="3" t="s">
        <v>62</v>
      </c>
      <c r="AH64" s="3" t="s">
        <v>62</v>
      </c>
      <c r="AI64" s="3" t="s">
        <v>55</v>
      </c>
      <c r="AJ64" s="3" t="s">
        <v>79</v>
      </c>
      <c r="AK64" s="3" t="s">
        <v>57</v>
      </c>
      <c r="AL64" s="13">
        <f t="shared" si="0"/>
        <v>24</v>
      </c>
      <c r="AM64" s="15">
        <f t="shared" si="1"/>
        <v>0</v>
      </c>
      <c r="AN64" s="3">
        <f t="shared" si="2"/>
        <v>4</v>
      </c>
      <c r="AO64" s="3" t="str">
        <f t="shared" si="3"/>
        <v>No</v>
      </c>
      <c r="AP64" s="17">
        <f t="shared" si="4"/>
        <v>3</v>
      </c>
      <c r="AQ64" s="17">
        <f t="shared" si="5"/>
        <v>1</v>
      </c>
      <c r="AR64" s="17">
        <f t="shared" si="6"/>
        <v>1.3333333333333335</v>
      </c>
      <c r="AS64" s="15">
        <f t="shared" si="7"/>
        <v>22857142.857142858</v>
      </c>
      <c r="AT64" s="17">
        <f t="shared" si="8"/>
        <v>6.25E-2</v>
      </c>
      <c r="AU64" s="17">
        <f t="shared" si="9"/>
        <v>0.25</v>
      </c>
      <c r="AV64" s="15">
        <f t="shared" si="10"/>
        <v>85714285.714285716</v>
      </c>
      <c r="AW64" s="18">
        <f t="shared" si="11"/>
        <v>0</v>
      </c>
      <c r="AX64" s="27" t="str">
        <f>IF(OR(K64&lt;Outlier_Audit!$H$2,K64&gt;Outlier_Audit!$I$2),"Review","Normal")</f>
        <v>Review</v>
      </c>
      <c r="AY64" t="str">
        <f t="shared" si="12"/>
        <v>20-29 years</v>
      </c>
      <c r="AZ64" t="str">
        <f>IF(AQ64="","Missing",IF(AQ64&gt;=EDA_Performance!$B$7,"High Growth",IF(AQ64&lt;=EDA_Performance!$B$5,"Low Growth","Middle")))</f>
        <v>High Growth</v>
      </c>
    </row>
    <row r="65" spans="1:52">
      <c r="A65" s="12">
        <v>1614271</v>
      </c>
      <c r="B65" s="3" t="s">
        <v>80</v>
      </c>
      <c r="C65" s="3" t="s">
        <v>58</v>
      </c>
      <c r="D65" s="13">
        <v>40</v>
      </c>
      <c r="E65" s="13">
        <v>1061</v>
      </c>
      <c r="F65" s="13">
        <v>10</v>
      </c>
      <c r="G65" s="3" t="s">
        <v>51</v>
      </c>
      <c r="H65" s="13">
        <v>2009</v>
      </c>
      <c r="I65" s="13">
        <v>10</v>
      </c>
      <c r="J65" s="14">
        <v>2.1008388996124268</v>
      </c>
      <c r="K65" s="15">
        <v>150000000</v>
      </c>
      <c r="L65" s="15">
        <v>100000000</v>
      </c>
      <c r="M65" s="16">
        <v>100</v>
      </c>
      <c r="N65" s="13">
        <v>40</v>
      </c>
      <c r="O65" s="13">
        <v>10</v>
      </c>
      <c r="P65" s="15">
        <v>48000000</v>
      </c>
      <c r="Q65" s="15">
        <v>24000000</v>
      </c>
      <c r="R65" s="15">
        <v>10000000</v>
      </c>
      <c r="S65" s="16">
        <v>0</v>
      </c>
      <c r="T65" s="3" t="s">
        <v>52</v>
      </c>
      <c r="U65" s="3" t="s">
        <v>53</v>
      </c>
      <c r="V65" s="3" t="s">
        <v>53</v>
      </c>
      <c r="W65" s="16">
        <v>80</v>
      </c>
      <c r="X65" s="16">
        <v>20</v>
      </c>
      <c r="Y65" s="16">
        <v>0</v>
      </c>
      <c r="Z65" s="3" t="s">
        <v>53</v>
      </c>
      <c r="AA65" s="15"/>
      <c r="AB65" s="3" t="s">
        <v>52</v>
      </c>
      <c r="AC65" s="3" t="s">
        <v>52</v>
      </c>
      <c r="AD65" s="3" t="s">
        <v>52</v>
      </c>
      <c r="AE65" s="16">
        <v>2</v>
      </c>
      <c r="AF65" s="3" t="s">
        <v>55</v>
      </c>
      <c r="AG65" s="3" t="s">
        <v>55</v>
      </c>
      <c r="AH65" s="3" t="s">
        <v>67</v>
      </c>
      <c r="AI65" s="3" t="s">
        <v>55</v>
      </c>
      <c r="AJ65" s="3" t="s">
        <v>63</v>
      </c>
      <c r="AK65" s="3" t="s">
        <v>75</v>
      </c>
      <c r="AL65" s="13">
        <f t="shared" si="0"/>
        <v>15</v>
      </c>
      <c r="AM65" s="15">
        <f t="shared" si="1"/>
        <v>0</v>
      </c>
      <c r="AN65" s="3">
        <f t="shared" si="2"/>
        <v>2</v>
      </c>
      <c r="AO65" s="3" t="str">
        <f t="shared" si="3"/>
        <v>No</v>
      </c>
      <c r="AP65" s="17">
        <f t="shared" si="4"/>
        <v>0.5</v>
      </c>
      <c r="AQ65" s="17">
        <f t="shared" si="5"/>
        <v>0.22474487139158894</v>
      </c>
      <c r="AR65" s="17">
        <f t="shared" si="6"/>
        <v>3</v>
      </c>
      <c r="AS65" s="15">
        <f t="shared" si="7"/>
        <v>3750000</v>
      </c>
      <c r="AT65" s="17">
        <f t="shared" si="8"/>
        <v>0.32</v>
      </c>
      <c r="AU65" s="17">
        <f t="shared" si="9"/>
        <v>0.16</v>
      </c>
      <c r="AV65" s="15">
        <f t="shared" si="10"/>
        <v>250000</v>
      </c>
      <c r="AW65" s="18">
        <f t="shared" si="11"/>
        <v>0</v>
      </c>
      <c r="AX65" s="27" t="str">
        <f>IF(OR(K65&lt;Outlier_Audit!$H$2,K65&gt;Outlier_Audit!$I$2),"Review","Normal")</f>
        <v>Normal</v>
      </c>
      <c r="AY65" t="str">
        <f t="shared" si="12"/>
        <v>10-19 years</v>
      </c>
      <c r="AZ65" t="str">
        <f>IF(AQ65="","Missing",IF(AQ65&gt;=EDA_Performance!$B$7,"High Growth",IF(AQ65&lt;=EDA_Performance!$B$5,"Low Growth","Middle")))</f>
        <v>Middle</v>
      </c>
    </row>
    <row r="66" spans="1:52">
      <c r="A66" s="12">
        <v>1614276</v>
      </c>
      <c r="B66" s="3" t="s">
        <v>49</v>
      </c>
      <c r="C66" s="3" t="s">
        <v>66</v>
      </c>
      <c r="D66" s="13">
        <v>30</v>
      </c>
      <c r="E66" s="13">
        <v>1101</v>
      </c>
      <c r="F66" s="13">
        <v>11</v>
      </c>
      <c r="G66" s="3" t="s">
        <v>89</v>
      </c>
      <c r="H66" s="13">
        <v>2004</v>
      </c>
      <c r="I66" s="13">
        <v>8</v>
      </c>
      <c r="J66" s="14">
        <v>1.3494371175765991</v>
      </c>
      <c r="K66" s="15">
        <v>1000000000</v>
      </c>
      <c r="L66" s="15">
        <v>900000000</v>
      </c>
      <c r="M66" s="16">
        <v>90</v>
      </c>
      <c r="N66" s="13">
        <v>26</v>
      </c>
      <c r="O66" s="13">
        <v>26</v>
      </c>
      <c r="P66" s="15">
        <v>180000000</v>
      </c>
      <c r="Q66" s="15">
        <v>150000000</v>
      </c>
      <c r="R66" s="15">
        <v>200000000</v>
      </c>
      <c r="S66" s="16">
        <v>0</v>
      </c>
      <c r="T66" s="3" t="s">
        <v>52</v>
      </c>
      <c r="U66" s="3" t="s">
        <v>53</v>
      </c>
      <c r="V66" s="3" t="s">
        <v>52</v>
      </c>
      <c r="W66" s="16">
        <v>100</v>
      </c>
      <c r="X66" s="16">
        <v>0</v>
      </c>
      <c r="Y66" s="16">
        <v>0</v>
      </c>
      <c r="Z66" s="3" t="s">
        <v>53</v>
      </c>
      <c r="AA66" s="15"/>
      <c r="AB66" s="3" t="s">
        <v>53</v>
      </c>
      <c r="AC66" s="3" t="s">
        <v>53</v>
      </c>
      <c r="AD66" s="3" t="s">
        <v>52</v>
      </c>
      <c r="AE66" s="16">
        <v>12</v>
      </c>
      <c r="AF66" s="3" t="s">
        <v>54</v>
      </c>
      <c r="AG66" s="3" t="s">
        <v>62</v>
      </c>
      <c r="AH66" s="3" t="s">
        <v>62</v>
      </c>
      <c r="AI66" s="3" t="s">
        <v>62</v>
      </c>
      <c r="AJ66" s="3" t="s">
        <v>63</v>
      </c>
      <c r="AK66" s="3" t="s">
        <v>64</v>
      </c>
      <c r="AL66" s="13">
        <f t="shared" ref="AL66:AL129" si="13">IF(H66="","",2024-H66)</f>
        <v>20</v>
      </c>
      <c r="AM66" s="15">
        <f t="shared" ref="AM66:AM129" si="14">IFERROR(IF(Z66="No",0,IF(Z66="Yes",AA66,"")),"")</f>
        <v>0</v>
      </c>
      <c r="AN66" s="3">
        <f t="shared" ref="AN66:AN129" si="15">IFERROR(IF(AD66="No",0,IF(AD66="Yes",AE66,"")),"")</f>
        <v>12</v>
      </c>
      <c r="AO66" s="3" t="str">
        <f t="shared" ref="AO66:AO129" si="16">IF(S66&gt;0,"Yes","No")</f>
        <v>No</v>
      </c>
      <c r="AP66" s="17">
        <f t="shared" ref="AP66:AP129" si="17">IF(OR(K66="",L66="",L66&lt;=0),"",K66/L66-1)</f>
        <v>0.11111111111111116</v>
      </c>
      <c r="AQ66" s="17">
        <f t="shared" ref="AQ66:AQ129" si="18">IF(OR(K66="",L66="",L66&lt;=0),"",(K66/L66)^(1/2)-1)</f>
        <v>5.4092553389459841E-2</v>
      </c>
      <c r="AR66" s="17">
        <f t="shared" ref="AR66:AR129" si="19">IF(OR(N66="",O66="",O66&lt;=0),"",N66/O66-1)</f>
        <v>0</v>
      </c>
      <c r="AS66" s="15">
        <f t="shared" ref="AS66:AS129" si="20">IF(OR(K66="",N66="",N66&lt;=0),"",K66/N66)</f>
        <v>38461538.461538464</v>
      </c>
      <c r="AT66" s="17">
        <f t="shared" ref="AT66:AT129" si="21">IF(OR(P66="",K66="",K66&lt;=0),"",P66/K66)</f>
        <v>0.18</v>
      </c>
      <c r="AU66" s="17">
        <f t="shared" ref="AU66:AU129" si="22">IF(OR(Q66="",K66="",K66&lt;=0),"",Q66/K66)</f>
        <v>0.15</v>
      </c>
      <c r="AV66" s="15">
        <f t="shared" ref="AV66:AV129" si="23">IF(OR(R66="",N66="",N66&lt;=0),"",R66/N66)</f>
        <v>7692307.692307692</v>
      </c>
      <c r="AW66" s="18">
        <f t="shared" ref="AW66:AW129" si="24">IFERROR(IF(Z66="No",0,IF(Z66="Yes",AM66/K66,"")),"")</f>
        <v>0</v>
      </c>
      <c r="AX66" s="27" t="str">
        <f>IF(OR(K66&lt;Outlier_Audit!$H$2,K66&gt;Outlier_Audit!$I$2),"Review","Normal")</f>
        <v>Normal</v>
      </c>
      <c r="AY66" t="str">
        <f t="shared" ref="AY66:AY129" si="25">IF(AL66="","Unknown",IF(AL66&lt;10,"&lt;10 years",IF(AL66&lt;20,"10-19 years",IF(AL66&lt;30,"20-29 years","30+ years"))))</f>
        <v>20-29 years</v>
      </c>
      <c r="AZ66" t="str">
        <f>IF(AQ66="","Missing",IF(AQ66&gt;=EDA_Performance!$B$7,"High Growth",IF(AQ66&lt;=EDA_Performance!$B$5,"Low Growth","Middle")))</f>
        <v>Middle</v>
      </c>
    </row>
    <row r="67" spans="1:52">
      <c r="A67" s="12">
        <v>1614277</v>
      </c>
      <c r="B67" s="3" t="s">
        <v>65</v>
      </c>
      <c r="C67" s="3" t="s">
        <v>66</v>
      </c>
      <c r="D67" s="13">
        <v>115</v>
      </c>
      <c r="E67" s="13">
        <v>1410</v>
      </c>
      <c r="F67" s="13">
        <v>14</v>
      </c>
      <c r="G67" s="3" t="s">
        <v>59</v>
      </c>
      <c r="H67" s="13">
        <v>1991</v>
      </c>
      <c r="I67" s="13">
        <v>35</v>
      </c>
      <c r="J67" s="14">
        <v>42.939556121826172</v>
      </c>
      <c r="K67" s="15">
        <v>2115600000</v>
      </c>
      <c r="L67" s="15">
        <v>2227885000</v>
      </c>
      <c r="M67" s="16">
        <v>100</v>
      </c>
      <c r="N67" s="13">
        <v>115</v>
      </c>
      <c r="O67" s="13">
        <v>35</v>
      </c>
      <c r="P67" s="15">
        <v>170000000</v>
      </c>
      <c r="Q67" s="15">
        <v>1370000000</v>
      </c>
      <c r="R67" s="15">
        <v>3000000000</v>
      </c>
      <c r="S67" s="16">
        <v>0</v>
      </c>
      <c r="T67" s="3" t="s">
        <v>52</v>
      </c>
      <c r="U67" s="3" t="s">
        <v>52</v>
      </c>
      <c r="V67" s="3" t="s">
        <v>53</v>
      </c>
      <c r="W67" s="16">
        <v>50</v>
      </c>
      <c r="X67" s="16">
        <v>0</v>
      </c>
      <c r="Y67" s="16">
        <v>0</v>
      </c>
      <c r="Z67" s="3" t="s">
        <v>53</v>
      </c>
      <c r="AA67" s="15"/>
      <c r="AB67" s="3" t="s">
        <v>52</v>
      </c>
      <c r="AC67" s="3" t="s">
        <v>53</v>
      </c>
      <c r="AD67" s="3" t="s">
        <v>52</v>
      </c>
      <c r="AE67" s="16">
        <v>7</v>
      </c>
      <c r="AF67" s="3" t="s">
        <v>55</v>
      </c>
      <c r="AG67" s="3" t="s">
        <v>55</v>
      </c>
      <c r="AH67" s="3" t="s">
        <v>67</v>
      </c>
      <c r="AI67" s="3" t="s">
        <v>67</v>
      </c>
      <c r="AJ67" s="3" t="s">
        <v>70</v>
      </c>
      <c r="AK67" s="3" t="s">
        <v>64</v>
      </c>
      <c r="AL67" s="13">
        <f t="shared" si="13"/>
        <v>33</v>
      </c>
      <c r="AM67" s="15">
        <f t="shared" si="14"/>
        <v>0</v>
      </c>
      <c r="AN67" s="3">
        <f t="shared" si="15"/>
        <v>7</v>
      </c>
      <c r="AO67" s="3" t="str">
        <f t="shared" si="16"/>
        <v>No</v>
      </c>
      <c r="AP67" s="17">
        <f t="shared" si="17"/>
        <v>-5.0399818662094309E-2</v>
      </c>
      <c r="AQ67" s="17">
        <f t="shared" si="18"/>
        <v>-2.5525689749644753E-2</v>
      </c>
      <c r="AR67" s="17">
        <f t="shared" si="19"/>
        <v>2.2857142857142856</v>
      </c>
      <c r="AS67" s="15">
        <f t="shared" si="20"/>
        <v>18396521.739130434</v>
      </c>
      <c r="AT67" s="17">
        <f t="shared" si="21"/>
        <v>8.0355454717337876E-2</v>
      </c>
      <c r="AU67" s="17">
        <f t="shared" si="22"/>
        <v>0.64757042919266405</v>
      </c>
      <c r="AV67" s="15">
        <f t="shared" si="23"/>
        <v>26086956.521739129</v>
      </c>
      <c r="AW67" s="18">
        <f t="shared" si="24"/>
        <v>0</v>
      </c>
      <c r="AX67" s="27" t="str">
        <f>IF(OR(K67&lt;Outlier_Audit!$H$2,K67&gt;Outlier_Audit!$I$2),"Review","Normal")</f>
        <v>Normal</v>
      </c>
      <c r="AY67" t="str">
        <f t="shared" si="25"/>
        <v>30+ years</v>
      </c>
      <c r="AZ67" t="str">
        <f>IF(AQ67="","Missing",IF(AQ67&gt;=EDA_Performance!$B$7,"High Growth",IF(AQ67&lt;=EDA_Performance!$B$5,"Low Growth","Middle")))</f>
        <v>Low Growth</v>
      </c>
    </row>
    <row r="68" spans="1:52">
      <c r="A68" s="12">
        <v>1614280</v>
      </c>
      <c r="B68" s="3" t="s">
        <v>49</v>
      </c>
      <c r="C68" s="3" t="s">
        <v>66</v>
      </c>
      <c r="D68" s="13">
        <v>5</v>
      </c>
      <c r="E68" s="13">
        <v>1061</v>
      </c>
      <c r="F68" s="13">
        <v>10</v>
      </c>
      <c r="G68" s="3" t="s">
        <v>51</v>
      </c>
      <c r="H68" s="13">
        <v>1987</v>
      </c>
      <c r="I68" s="13">
        <v>25</v>
      </c>
      <c r="J68" s="14">
        <v>1.4072496891021729</v>
      </c>
      <c r="K68" s="15">
        <v>42000000</v>
      </c>
      <c r="L68" s="15">
        <v>38000000</v>
      </c>
      <c r="M68" s="16">
        <v>42</v>
      </c>
      <c r="N68" s="13">
        <v>5</v>
      </c>
      <c r="O68" s="13">
        <v>5</v>
      </c>
      <c r="P68" s="15">
        <v>18000000</v>
      </c>
      <c r="Q68" s="15">
        <v>23000000</v>
      </c>
      <c r="R68" s="15">
        <v>15420000</v>
      </c>
      <c r="S68" s="16">
        <v>0</v>
      </c>
      <c r="T68" s="3" t="s">
        <v>60</v>
      </c>
      <c r="U68" s="3" t="s">
        <v>53</v>
      </c>
      <c r="V68" s="3" t="s">
        <v>53</v>
      </c>
      <c r="W68" s="16">
        <v>95</v>
      </c>
      <c r="X68" s="16">
        <v>0</v>
      </c>
      <c r="Y68" s="16">
        <v>0</v>
      </c>
      <c r="Z68" s="3" t="s">
        <v>53</v>
      </c>
      <c r="AA68" s="15"/>
      <c r="AB68" s="3" t="s">
        <v>53</v>
      </c>
      <c r="AC68" s="3" t="s">
        <v>53</v>
      </c>
      <c r="AD68" s="3" t="s">
        <v>52</v>
      </c>
      <c r="AE68" s="16">
        <v>5</v>
      </c>
      <c r="AF68" s="3" t="s">
        <v>54</v>
      </c>
      <c r="AG68" s="3" t="s">
        <v>61</v>
      </c>
      <c r="AH68" s="3" t="s">
        <v>67</v>
      </c>
      <c r="AI68" s="3" t="s">
        <v>61</v>
      </c>
      <c r="AJ68" s="3" t="s">
        <v>70</v>
      </c>
      <c r="AK68" s="3" t="s">
        <v>75</v>
      </c>
      <c r="AL68" s="13">
        <f t="shared" si="13"/>
        <v>37</v>
      </c>
      <c r="AM68" s="15">
        <f t="shared" si="14"/>
        <v>0</v>
      </c>
      <c r="AN68" s="3">
        <f t="shared" si="15"/>
        <v>5</v>
      </c>
      <c r="AO68" s="3" t="str">
        <f t="shared" si="16"/>
        <v>No</v>
      </c>
      <c r="AP68" s="17">
        <f t="shared" si="17"/>
        <v>0.10526315789473695</v>
      </c>
      <c r="AQ68" s="17">
        <f t="shared" si="18"/>
        <v>5.1314966075693746E-2</v>
      </c>
      <c r="AR68" s="17">
        <f t="shared" si="19"/>
        <v>0</v>
      </c>
      <c r="AS68" s="15">
        <f t="shared" si="20"/>
        <v>8400000</v>
      </c>
      <c r="AT68" s="17">
        <f t="shared" si="21"/>
        <v>0.42857142857142855</v>
      </c>
      <c r="AU68" s="17">
        <f t="shared" si="22"/>
        <v>0.54761904761904767</v>
      </c>
      <c r="AV68" s="15">
        <f t="shared" si="23"/>
        <v>3084000</v>
      </c>
      <c r="AW68" s="18">
        <f t="shared" si="24"/>
        <v>0</v>
      </c>
      <c r="AX68" s="27" t="str">
        <f>IF(OR(K68&lt;Outlier_Audit!$H$2,K68&gt;Outlier_Audit!$I$2),"Review","Normal")</f>
        <v>Normal</v>
      </c>
      <c r="AY68" t="str">
        <f t="shared" si="25"/>
        <v>30+ years</v>
      </c>
      <c r="AZ68" t="str">
        <f>IF(AQ68="","Missing",IF(AQ68&gt;=EDA_Performance!$B$7,"High Growth",IF(AQ68&lt;=EDA_Performance!$B$5,"Low Growth","Middle")))</f>
        <v>Middle</v>
      </c>
    </row>
    <row r="69" spans="1:52">
      <c r="A69" s="12">
        <v>1614283</v>
      </c>
      <c r="B69" s="3" t="s">
        <v>65</v>
      </c>
      <c r="C69" s="3" t="s">
        <v>50</v>
      </c>
      <c r="D69" s="13">
        <v>200</v>
      </c>
      <c r="E69" s="13">
        <v>1101</v>
      </c>
      <c r="F69" s="13">
        <v>11</v>
      </c>
      <c r="G69" s="3" t="s">
        <v>89</v>
      </c>
      <c r="H69" s="13">
        <v>2000</v>
      </c>
      <c r="I69" s="13">
        <v>25</v>
      </c>
      <c r="J69" s="14">
        <v>1</v>
      </c>
      <c r="K69" s="15">
        <v>700000000</v>
      </c>
      <c r="L69" s="15">
        <v>650000000</v>
      </c>
      <c r="M69" s="16">
        <v>90</v>
      </c>
      <c r="N69" s="13">
        <v>180</v>
      </c>
      <c r="O69" s="13">
        <v>50</v>
      </c>
      <c r="P69" s="15">
        <v>200000000</v>
      </c>
      <c r="Q69" s="15">
        <v>400000000</v>
      </c>
      <c r="R69" s="15">
        <v>1000000000</v>
      </c>
      <c r="S69" s="16">
        <v>0</v>
      </c>
      <c r="T69" s="3" t="s">
        <v>52</v>
      </c>
      <c r="U69" s="3" t="s">
        <v>53</v>
      </c>
      <c r="V69" s="3" t="s">
        <v>53</v>
      </c>
      <c r="W69" s="16">
        <v>40</v>
      </c>
      <c r="X69" s="16">
        <v>0</v>
      </c>
      <c r="Y69" s="16">
        <v>50</v>
      </c>
      <c r="Z69" s="3" t="s">
        <v>53</v>
      </c>
      <c r="AA69" s="15"/>
      <c r="AB69" s="3" t="s">
        <v>53</v>
      </c>
      <c r="AC69" s="3" t="s">
        <v>53</v>
      </c>
      <c r="AD69" s="3" t="s">
        <v>53</v>
      </c>
      <c r="AE69" s="16"/>
      <c r="AF69" s="3" t="s">
        <v>67</v>
      </c>
      <c r="AG69" s="3" t="s">
        <v>67</v>
      </c>
      <c r="AH69" s="3" t="s">
        <v>67</v>
      </c>
      <c r="AI69" s="3" t="s">
        <v>67</v>
      </c>
      <c r="AJ69" s="3" t="s">
        <v>81</v>
      </c>
      <c r="AK69" s="3" t="s">
        <v>57</v>
      </c>
      <c r="AL69" s="13">
        <f t="shared" si="13"/>
        <v>24</v>
      </c>
      <c r="AM69" s="15">
        <f t="shared" si="14"/>
        <v>0</v>
      </c>
      <c r="AN69" s="3">
        <f t="shared" si="15"/>
        <v>0</v>
      </c>
      <c r="AO69" s="3" t="str">
        <f t="shared" si="16"/>
        <v>No</v>
      </c>
      <c r="AP69" s="17">
        <f t="shared" si="17"/>
        <v>7.6923076923076872E-2</v>
      </c>
      <c r="AQ69" s="17">
        <f t="shared" si="18"/>
        <v>3.7749043325541631E-2</v>
      </c>
      <c r="AR69" s="17">
        <f t="shared" si="19"/>
        <v>2.6</v>
      </c>
      <c r="AS69" s="15">
        <f t="shared" si="20"/>
        <v>3888888.888888889</v>
      </c>
      <c r="AT69" s="17">
        <f t="shared" si="21"/>
        <v>0.2857142857142857</v>
      </c>
      <c r="AU69" s="17">
        <f t="shared" si="22"/>
        <v>0.5714285714285714</v>
      </c>
      <c r="AV69" s="15">
        <f t="shared" si="23"/>
        <v>5555555.555555556</v>
      </c>
      <c r="AW69" s="18">
        <f t="shared" si="24"/>
        <v>0</v>
      </c>
      <c r="AX69" s="27" t="str">
        <f>IF(OR(K69&lt;Outlier_Audit!$H$2,K69&gt;Outlier_Audit!$I$2),"Review","Normal")</f>
        <v>Normal</v>
      </c>
      <c r="AY69" t="str">
        <f t="shared" si="25"/>
        <v>20-29 years</v>
      </c>
      <c r="AZ69" t="str">
        <f>IF(AQ69="","Missing",IF(AQ69&gt;=EDA_Performance!$B$7,"High Growth",IF(AQ69&lt;=EDA_Performance!$B$5,"Low Growth","Middle")))</f>
        <v>Low Growth</v>
      </c>
    </row>
    <row r="70" spans="1:52">
      <c r="A70" s="12">
        <v>1614286</v>
      </c>
      <c r="B70" s="3" t="s">
        <v>65</v>
      </c>
      <c r="C70" s="3" t="s">
        <v>50</v>
      </c>
      <c r="D70" s="13">
        <v>50</v>
      </c>
      <c r="E70" s="13">
        <v>1101</v>
      </c>
      <c r="F70" s="13">
        <v>11</v>
      </c>
      <c r="G70" s="3" t="s">
        <v>89</v>
      </c>
      <c r="H70" s="13">
        <v>2013</v>
      </c>
      <c r="I70" s="13">
        <v>15</v>
      </c>
      <c r="J70" s="14">
        <v>1</v>
      </c>
      <c r="K70" s="15">
        <v>3000000000</v>
      </c>
      <c r="L70" s="15">
        <v>1500000000</v>
      </c>
      <c r="M70" s="16">
        <v>45</v>
      </c>
      <c r="N70" s="13">
        <v>50</v>
      </c>
      <c r="O70" s="13">
        <v>45</v>
      </c>
      <c r="P70" s="15">
        <v>500000000</v>
      </c>
      <c r="Q70" s="15">
        <v>300000000</v>
      </c>
      <c r="R70" s="15">
        <v>1000000000</v>
      </c>
      <c r="S70" s="16">
        <v>25</v>
      </c>
      <c r="T70" s="3" t="s">
        <v>53</v>
      </c>
      <c r="U70" s="3" t="s">
        <v>53</v>
      </c>
      <c r="V70" s="3" t="s">
        <v>53</v>
      </c>
      <c r="W70" s="16">
        <v>80</v>
      </c>
      <c r="X70" s="16">
        <v>0</v>
      </c>
      <c r="Y70" s="16">
        <v>0</v>
      </c>
      <c r="Z70" s="3" t="s">
        <v>53</v>
      </c>
      <c r="AA70" s="15"/>
      <c r="AB70" s="3" t="s">
        <v>53</v>
      </c>
      <c r="AC70" s="3" t="s">
        <v>53</v>
      </c>
      <c r="AD70" s="3" t="s">
        <v>53</v>
      </c>
      <c r="AE70" s="16"/>
      <c r="AF70" s="3" t="s">
        <v>62</v>
      </c>
      <c r="AG70" s="3" t="s">
        <v>62</v>
      </c>
      <c r="AH70" s="3" t="s">
        <v>62</v>
      </c>
      <c r="AI70" s="3" t="s">
        <v>54</v>
      </c>
      <c r="AJ70" s="3" t="s">
        <v>87</v>
      </c>
      <c r="AK70" s="3" t="s">
        <v>75</v>
      </c>
      <c r="AL70" s="13">
        <f t="shared" si="13"/>
        <v>11</v>
      </c>
      <c r="AM70" s="15">
        <f t="shared" si="14"/>
        <v>0</v>
      </c>
      <c r="AN70" s="3">
        <f t="shared" si="15"/>
        <v>0</v>
      </c>
      <c r="AO70" s="3" t="str">
        <f t="shared" si="16"/>
        <v>Yes</v>
      </c>
      <c r="AP70" s="17">
        <f t="shared" si="17"/>
        <v>1</v>
      </c>
      <c r="AQ70" s="17">
        <f t="shared" si="18"/>
        <v>0.41421356237309515</v>
      </c>
      <c r="AR70" s="17">
        <f t="shared" si="19"/>
        <v>0.11111111111111116</v>
      </c>
      <c r="AS70" s="15">
        <f t="shared" si="20"/>
        <v>60000000</v>
      </c>
      <c r="AT70" s="17">
        <f t="shared" si="21"/>
        <v>0.16666666666666666</v>
      </c>
      <c r="AU70" s="17">
        <f t="shared" si="22"/>
        <v>0.1</v>
      </c>
      <c r="AV70" s="15">
        <f t="shared" si="23"/>
        <v>20000000</v>
      </c>
      <c r="AW70" s="18">
        <f t="shared" si="24"/>
        <v>0</v>
      </c>
      <c r="AX70" s="27" t="str">
        <f>IF(OR(K70&lt;Outlier_Audit!$H$2,K70&gt;Outlier_Audit!$I$2),"Review","Normal")</f>
        <v>Normal</v>
      </c>
      <c r="AY70" t="str">
        <f t="shared" si="25"/>
        <v>10-19 years</v>
      </c>
      <c r="AZ70" t="str">
        <f>IF(AQ70="","Missing",IF(AQ70&gt;=EDA_Performance!$B$7,"High Growth",IF(AQ70&lt;=EDA_Performance!$B$5,"Low Growth","Middle")))</f>
        <v>High Growth</v>
      </c>
    </row>
    <row r="71" spans="1:52">
      <c r="A71" s="12">
        <v>1614289</v>
      </c>
      <c r="B71" s="3" t="s">
        <v>49</v>
      </c>
      <c r="C71" s="3" t="s">
        <v>66</v>
      </c>
      <c r="D71" s="13">
        <v>60</v>
      </c>
      <c r="E71" s="13">
        <v>1079</v>
      </c>
      <c r="F71" s="13">
        <v>10</v>
      </c>
      <c r="G71" s="3" t="s">
        <v>51</v>
      </c>
      <c r="H71" s="13">
        <v>1954</v>
      </c>
      <c r="I71" s="13">
        <v>10</v>
      </c>
      <c r="J71" s="14">
        <v>1.356840968132019</v>
      </c>
      <c r="K71" s="15">
        <v>6000000000</v>
      </c>
      <c r="L71" s="15">
        <v>5000000000</v>
      </c>
      <c r="M71" s="16">
        <v>100</v>
      </c>
      <c r="N71" s="13">
        <v>45</v>
      </c>
      <c r="O71" s="13">
        <v>42</v>
      </c>
      <c r="P71" s="15">
        <v>420000000</v>
      </c>
      <c r="Q71" s="15">
        <v>500000000</v>
      </c>
      <c r="R71" s="15">
        <v>1000000</v>
      </c>
      <c r="S71" s="16">
        <v>80</v>
      </c>
      <c r="T71" s="3" t="s">
        <v>52</v>
      </c>
      <c r="U71" s="3" t="s">
        <v>53</v>
      </c>
      <c r="V71" s="3" t="s">
        <v>53</v>
      </c>
      <c r="W71" s="16">
        <v>60</v>
      </c>
      <c r="X71" s="16">
        <v>0</v>
      </c>
      <c r="Y71" s="16">
        <v>10</v>
      </c>
      <c r="Z71" s="3" t="s">
        <v>53</v>
      </c>
      <c r="AA71" s="15"/>
      <c r="AB71" s="3" t="s">
        <v>53</v>
      </c>
      <c r="AC71" s="3" t="s">
        <v>53</v>
      </c>
      <c r="AD71" s="3" t="s">
        <v>52</v>
      </c>
      <c r="AE71" s="16">
        <v>3</v>
      </c>
      <c r="AF71" s="3" t="s">
        <v>55</v>
      </c>
      <c r="AG71" s="3" t="s">
        <v>55</v>
      </c>
      <c r="AH71" s="3" t="s">
        <v>62</v>
      </c>
      <c r="AI71" s="3" t="s">
        <v>62</v>
      </c>
      <c r="AJ71" s="3" t="s">
        <v>70</v>
      </c>
      <c r="AK71" s="3" t="s">
        <v>64</v>
      </c>
      <c r="AL71" s="13">
        <f t="shared" si="13"/>
        <v>70</v>
      </c>
      <c r="AM71" s="15">
        <f t="shared" si="14"/>
        <v>0</v>
      </c>
      <c r="AN71" s="3">
        <f t="shared" si="15"/>
        <v>3</v>
      </c>
      <c r="AO71" s="3" t="str">
        <f t="shared" si="16"/>
        <v>Yes</v>
      </c>
      <c r="AP71" s="17">
        <f t="shared" si="17"/>
        <v>0.19999999999999996</v>
      </c>
      <c r="AQ71" s="17">
        <f t="shared" si="18"/>
        <v>9.5445115010332149E-2</v>
      </c>
      <c r="AR71" s="17">
        <f t="shared" si="19"/>
        <v>7.1428571428571397E-2</v>
      </c>
      <c r="AS71" s="15">
        <f t="shared" si="20"/>
        <v>133333333.33333333</v>
      </c>
      <c r="AT71" s="17">
        <f t="shared" si="21"/>
        <v>7.0000000000000007E-2</v>
      </c>
      <c r="AU71" s="17">
        <f t="shared" si="22"/>
        <v>8.3333333333333329E-2</v>
      </c>
      <c r="AV71" s="15">
        <f t="shared" si="23"/>
        <v>22222.222222222223</v>
      </c>
      <c r="AW71" s="18">
        <f t="shared" si="24"/>
        <v>0</v>
      </c>
      <c r="AX71" s="27" t="str">
        <f>IF(OR(K71&lt;Outlier_Audit!$H$2,K71&gt;Outlier_Audit!$I$2),"Review","Normal")</f>
        <v>Normal</v>
      </c>
      <c r="AY71" t="str">
        <f t="shared" si="25"/>
        <v>30+ years</v>
      </c>
      <c r="AZ71" t="str">
        <f>IF(AQ71="","Missing",IF(AQ71&gt;=EDA_Performance!$B$7,"High Growth",IF(AQ71&lt;=EDA_Performance!$B$5,"Low Growth","Middle")))</f>
        <v>Middle</v>
      </c>
    </row>
    <row r="72" spans="1:52">
      <c r="A72" s="12">
        <v>1614293</v>
      </c>
      <c r="B72" s="3" t="s">
        <v>74</v>
      </c>
      <c r="C72" s="3" t="s">
        <v>50</v>
      </c>
      <c r="D72" s="13">
        <v>100</v>
      </c>
      <c r="E72" s="13">
        <v>1079</v>
      </c>
      <c r="F72" s="13">
        <v>10</v>
      </c>
      <c r="G72" s="3" t="s">
        <v>51</v>
      </c>
      <c r="H72" s="13">
        <v>1994</v>
      </c>
      <c r="I72" s="13">
        <v>5</v>
      </c>
      <c r="J72" s="14">
        <v>1.3089461326599121</v>
      </c>
      <c r="K72" s="15">
        <v>36000000000</v>
      </c>
      <c r="L72" s="15">
        <v>30000000000</v>
      </c>
      <c r="M72" s="16">
        <v>100</v>
      </c>
      <c r="N72" s="13">
        <v>100</v>
      </c>
      <c r="O72" s="13">
        <v>90</v>
      </c>
      <c r="P72" s="15">
        <v>3000000000</v>
      </c>
      <c r="Q72" s="15">
        <v>1000000000</v>
      </c>
      <c r="R72" s="15">
        <v>2000000000</v>
      </c>
      <c r="S72" s="16">
        <v>20</v>
      </c>
      <c r="T72" s="3" t="s">
        <v>52</v>
      </c>
      <c r="U72" s="3" t="s">
        <v>53</v>
      </c>
      <c r="V72" s="3" t="s">
        <v>53</v>
      </c>
      <c r="W72" s="16">
        <v>60</v>
      </c>
      <c r="X72" s="16">
        <v>20</v>
      </c>
      <c r="Y72" s="16">
        <v>20</v>
      </c>
      <c r="Z72" s="3" t="s">
        <v>52</v>
      </c>
      <c r="AA72" s="15">
        <v>5000000000</v>
      </c>
      <c r="AB72" s="3" t="s">
        <v>52</v>
      </c>
      <c r="AC72" s="3" t="s">
        <v>53</v>
      </c>
      <c r="AD72" s="3" t="s">
        <v>52</v>
      </c>
      <c r="AE72" s="16">
        <v>5</v>
      </c>
      <c r="AF72" s="3" t="s">
        <v>67</v>
      </c>
      <c r="AG72" s="3" t="s">
        <v>67</v>
      </c>
      <c r="AH72" s="3" t="s">
        <v>67</v>
      </c>
      <c r="AI72" s="3" t="s">
        <v>62</v>
      </c>
      <c r="AJ72" s="3" t="s">
        <v>94</v>
      </c>
      <c r="AK72" s="3" t="s">
        <v>57</v>
      </c>
      <c r="AL72" s="13">
        <f t="shared" si="13"/>
        <v>30</v>
      </c>
      <c r="AM72" s="15">
        <f t="shared" si="14"/>
        <v>5000000000</v>
      </c>
      <c r="AN72" s="3">
        <f t="shared" si="15"/>
        <v>5</v>
      </c>
      <c r="AO72" s="3" t="str">
        <f t="shared" si="16"/>
        <v>Yes</v>
      </c>
      <c r="AP72" s="17">
        <f t="shared" si="17"/>
        <v>0.19999999999999996</v>
      </c>
      <c r="AQ72" s="17">
        <f t="shared" si="18"/>
        <v>9.5445115010332149E-2</v>
      </c>
      <c r="AR72" s="17">
        <f t="shared" si="19"/>
        <v>0.11111111111111116</v>
      </c>
      <c r="AS72" s="15">
        <f t="shared" si="20"/>
        <v>360000000</v>
      </c>
      <c r="AT72" s="17">
        <f t="shared" si="21"/>
        <v>8.3333333333333329E-2</v>
      </c>
      <c r="AU72" s="17">
        <f t="shared" si="22"/>
        <v>2.7777777777777776E-2</v>
      </c>
      <c r="AV72" s="15">
        <f t="shared" si="23"/>
        <v>20000000</v>
      </c>
      <c r="AW72" s="18">
        <f t="shared" si="24"/>
        <v>0.1388888888888889</v>
      </c>
      <c r="AX72" s="27" t="str">
        <f>IF(OR(K72&lt;Outlier_Audit!$H$2,K72&gt;Outlier_Audit!$I$2),"Review","Normal")</f>
        <v>Review</v>
      </c>
      <c r="AY72" t="str">
        <f t="shared" si="25"/>
        <v>30+ years</v>
      </c>
      <c r="AZ72" t="str">
        <f>IF(AQ72="","Missing",IF(AQ72&gt;=EDA_Performance!$B$7,"High Growth",IF(AQ72&lt;=EDA_Performance!$B$5,"Low Growth","Middle")))</f>
        <v>Middle</v>
      </c>
    </row>
    <row r="73" spans="1:52">
      <c r="A73" s="12">
        <v>1614300</v>
      </c>
      <c r="B73" s="3" t="s">
        <v>80</v>
      </c>
      <c r="C73" s="3" t="s">
        <v>58</v>
      </c>
      <c r="D73" s="13">
        <v>9</v>
      </c>
      <c r="E73" s="13">
        <v>2511</v>
      </c>
      <c r="F73" s="13">
        <v>25</v>
      </c>
      <c r="G73" s="3" t="s">
        <v>76</v>
      </c>
      <c r="H73" s="13">
        <v>2010</v>
      </c>
      <c r="I73" s="13">
        <v>16</v>
      </c>
      <c r="J73" s="14">
        <v>18.668731689453125</v>
      </c>
      <c r="K73" s="15">
        <v>86500000</v>
      </c>
      <c r="L73" s="15">
        <v>41300000</v>
      </c>
      <c r="M73" s="16">
        <v>60</v>
      </c>
      <c r="N73" s="13">
        <v>4</v>
      </c>
      <c r="O73" s="13">
        <v>3</v>
      </c>
      <c r="P73" s="15">
        <v>8530000</v>
      </c>
      <c r="Q73" s="15">
        <v>39540000</v>
      </c>
      <c r="R73" s="15">
        <v>200570000</v>
      </c>
      <c r="S73" s="16">
        <v>0</v>
      </c>
      <c r="T73" s="3" t="s">
        <v>60</v>
      </c>
      <c r="U73" s="3" t="s">
        <v>53</v>
      </c>
      <c r="V73" s="3" t="s">
        <v>53</v>
      </c>
      <c r="W73" s="16">
        <v>70</v>
      </c>
      <c r="X73" s="16">
        <v>0</v>
      </c>
      <c r="Y73" s="16">
        <v>10</v>
      </c>
      <c r="Z73" s="3" t="s">
        <v>53</v>
      </c>
      <c r="AA73" s="15"/>
      <c r="AB73" s="3" t="s">
        <v>53</v>
      </c>
      <c r="AC73" s="3" t="s">
        <v>53</v>
      </c>
      <c r="AD73" s="3" t="s">
        <v>52</v>
      </c>
      <c r="AE73" s="16">
        <v>7</v>
      </c>
      <c r="AF73" s="3" t="s">
        <v>54</v>
      </c>
      <c r="AG73" s="3" t="s">
        <v>67</v>
      </c>
      <c r="AH73" s="3" t="s">
        <v>62</v>
      </c>
      <c r="AI73" s="3" t="s">
        <v>62</v>
      </c>
      <c r="AJ73" s="3" t="s">
        <v>87</v>
      </c>
      <c r="AK73" s="3" t="s">
        <v>75</v>
      </c>
      <c r="AL73" s="13">
        <f t="shared" si="13"/>
        <v>14</v>
      </c>
      <c r="AM73" s="15">
        <f t="shared" si="14"/>
        <v>0</v>
      </c>
      <c r="AN73" s="3">
        <f t="shared" si="15"/>
        <v>7</v>
      </c>
      <c r="AO73" s="3" t="str">
        <f t="shared" si="16"/>
        <v>No</v>
      </c>
      <c r="AP73" s="17">
        <f t="shared" si="17"/>
        <v>1.0944309927360774</v>
      </c>
      <c r="AQ73" s="17">
        <f t="shared" si="18"/>
        <v>0.44721490896690153</v>
      </c>
      <c r="AR73" s="17">
        <f t="shared" si="19"/>
        <v>0.33333333333333326</v>
      </c>
      <c r="AS73" s="15">
        <f t="shared" si="20"/>
        <v>21625000</v>
      </c>
      <c r="AT73" s="17">
        <f t="shared" si="21"/>
        <v>9.8612716763005787E-2</v>
      </c>
      <c r="AU73" s="17">
        <f t="shared" si="22"/>
        <v>0.45710982658959537</v>
      </c>
      <c r="AV73" s="15">
        <f t="shared" si="23"/>
        <v>50142500</v>
      </c>
      <c r="AW73" s="18">
        <f t="shared" si="24"/>
        <v>0</v>
      </c>
      <c r="AX73" s="27" t="str">
        <f>IF(OR(K73&lt;Outlier_Audit!$H$2,K73&gt;Outlier_Audit!$I$2),"Review","Normal")</f>
        <v>Normal</v>
      </c>
      <c r="AY73" t="str">
        <f t="shared" si="25"/>
        <v>10-19 years</v>
      </c>
      <c r="AZ73" t="str">
        <f>IF(AQ73="","Missing",IF(AQ73&gt;=EDA_Performance!$B$7,"High Growth",IF(AQ73&lt;=EDA_Performance!$B$5,"Low Growth","Middle")))</f>
        <v>High Growth</v>
      </c>
    </row>
    <row r="74" spans="1:52">
      <c r="A74" s="12">
        <v>1614305</v>
      </c>
      <c r="B74" s="3" t="s">
        <v>65</v>
      </c>
      <c r="C74" s="3" t="s">
        <v>50</v>
      </c>
      <c r="D74" s="13">
        <v>24</v>
      </c>
      <c r="E74" s="13">
        <v>1071</v>
      </c>
      <c r="F74" s="13">
        <v>10</v>
      </c>
      <c r="G74" s="3" t="s">
        <v>51</v>
      </c>
      <c r="H74" s="13">
        <v>2008</v>
      </c>
      <c r="I74" s="13"/>
      <c r="J74" s="14">
        <v>3.8174867630004883</v>
      </c>
      <c r="K74" s="15">
        <v>650000000</v>
      </c>
      <c r="L74" s="15">
        <v>430000000</v>
      </c>
      <c r="M74" s="16">
        <v>100</v>
      </c>
      <c r="N74" s="13">
        <v>24</v>
      </c>
      <c r="O74" s="13">
        <v>21</v>
      </c>
      <c r="P74" s="15">
        <v>162500000</v>
      </c>
      <c r="Q74" s="15">
        <v>350000000</v>
      </c>
      <c r="R74" s="15"/>
      <c r="S74" s="16">
        <v>0</v>
      </c>
      <c r="T74" s="3" t="s">
        <v>53</v>
      </c>
      <c r="U74" s="3" t="s">
        <v>53</v>
      </c>
      <c r="V74" s="3" t="s">
        <v>53</v>
      </c>
      <c r="W74" s="16">
        <v>70</v>
      </c>
      <c r="X74" s="16">
        <v>0</v>
      </c>
      <c r="Y74" s="16">
        <v>30</v>
      </c>
      <c r="Z74" s="3" t="s">
        <v>53</v>
      </c>
      <c r="AA74" s="15"/>
      <c r="AB74" s="3" t="s">
        <v>53</v>
      </c>
      <c r="AC74" s="3" t="s">
        <v>53</v>
      </c>
      <c r="AD74" s="3" t="s">
        <v>52</v>
      </c>
      <c r="AE74" s="16">
        <v>1</v>
      </c>
      <c r="AF74" s="3" t="s">
        <v>67</v>
      </c>
      <c r="AG74" s="3" t="s">
        <v>67</v>
      </c>
      <c r="AH74" s="3" t="s">
        <v>62</v>
      </c>
      <c r="AI74" s="3" t="s">
        <v>54</v>
      </c>
      <c r="AJ74" s="3" t="s">
        <v>79</v>
      </c>
      <c r="AK74" s="3" t="s">
        <v>57</v>
      </c>
      <c r="AL74" s="13">
        <f t="shared" si="13"/>
        <v>16</v>
      </c>
      <c r="AM74" s="15">
        <f t="shared" si="14"/>
        <v>0</v>
      </c>
      <c r="AN74" s="3">
        <f t="shared" si="15"/>
        <v>1</v>
      </c>
      <c r="AO74" s="3" t="str">
        <f t="shared" si="16"/>
        <v>No</v>
      </c>
      <c r="AP74" s="17">
        <f t="shared" si="17"/>
        <v>0.51162790697674421</v>
      </c>
      <c r="AQ74" s="17">
        <f t="shared" si="18"/>
        <v>0.22948278026849334</v>
      </c>
      <c r="AR74" s="17">
        <f t="shared" si="19"/>
        <v>0.14285714285714279</v>
      </c>
      <c r="AS74" s="15">
        <f t="shared" si="20"/>
        <v>27083333.333333332</v>
      </c>
      <c r="AT74" s="17">
        <f t="shared" si="21"/>
        <v>0.25</v>
      </c>
      <c r="AU74" s="17">
        <f t="shared" si="22"/>
        <v>0.53846153846153844</v>
      </c>
      <c r="AV74" s="15" t="str">
        <f t="shared" si="23"/>
        <v/>
      </c>
      <c r="AW74" s="18">
        <f t="shared" si="24"/>
        <v>0</v>
      </c>
      <c r="AX74" s="27" t="str">
        <f>IF(OR(K74&lt;Outlier_Audit!$H$2,K74&gt;Outlier_Audit!$I$2),"Review","Normal")</f>
        <v>Normal</v>
      </c>
      <c r="AY74" t="str">
        <f t="shared" si="25"/>
        <v>10-19 years</v>
      </c>
      <c r="AZ74" t="str">
        <f>IF(AQ74="","Missing",IF(AQ74&gt;=EDA_Performance!$B$7,"High Growth",IF(AQ74&lt;=EDA_Performance!$B$5,"Low Growth","Middle")))</f>
        <v>Middle</v>
      </c>
    </row>
    <row r="75" spans="1:52">
      <c r="A75" s="12">
        <v>1614307</v>
      </c>
      <c r="B75" s="3" t="s">
        <v>65</v>
      </c>
      <c r="C75" s="3" t="s">
        <v>66</v>
      </c>
      <c r="D75" s="13">
        <v>5</v>
      </c>
      <c r="E75" s="13">
        <v>3312</v>
      </c>
      <c r="F75" s="13">
        <v>33</v>
      </c>
      <c r="G75" s="3" t="s">
        <v>90</v>
      </c>
      <c r="H75" s="13">
        <v>2002</v>
      </c>
      <c r="I75" s="13">
        <v>40</v>
      </c>
      <c r="J75" s="14">
        <v>416.63912963867188</v>
      </c>
      <c r="K75" s="15">
        <v>600000000</v>
      </c>
      <c r="L75" s="15">
        <v>700000000</v>
      </c>
      <c r="M75" s="16">
        <v>70</v>
      </c>
      <c r="N75" s="13">
        <v>4</v>
      </c>
      <c r="O75" s="13">
        <v>6</v>
      </c>
      <c r="P75" s="15">
        <v>50000000</v>
      </c>
      <c r="Q75" s="15">
        <v>200000000</v>
      </c>
      <c r="R75" s="15">
        <v>500000000</v>
      </c>
      <c r="S75" s="16">
        <v>0</v>
      </c>
      <c r="T75" s="3" t="s">
        <v>60</v>
      </c>
      <c r="U75" s="3" t="s">
        <v>53</v>
      </c>
      <c r="V75" s="3" t="s">
        <v>53</v>
      </c>
      <c r="W75" s="16">
        <v>70</v>
      </c>
      <c r="X75" s="16">
        <v>30</v>
      </c>
      <c r="Y75" s="16">
        <v>0</v>
      </c>
      <c r="Z75" s="3" t="s">
        <v>52</v>
      </c>
      <c r="AA75" s="15">
        <v>100000000</v>
      </c>
      <c r="AB75" s="3" t="s">
        <v>52</v>
      </c>
      <c r="AC75" s="3" t="s">
        <v>52</v>
      </c>
      <c r="AD75" s="3" t="s">
        <v>52</v>
      </c>
      <c r="AE75" s="16">
        <v>2</v>
      </c>
      <c r="AF75" s="3" t="s">
        <v>67</v>
      </c>
      <c r="AG75" s="3" t="s">
        <v>67</v>
      </c>
      <c r="AH75" s="3" t="s">
        <v>62</v>
      </c>
      <c r="AI75" s="3" t="s">
        <v>67</v>
      </c>
      <c r="AJ75" s="3" t="s">
        <v>79</v>
      </c>
      <c r="AK75" s="3" t="s">
        <v>64</v>
      </c>
      <c r="AL75" s="13">
        <f t="shared" si="13"/>
        <v>22</v>
      </c>
      <c r="AM75" s="15">
        <f t="shared" si="14"/>
        <v>100000000</v>
      </c>
      <c r="AN75" s="3">
        <f t="shared" si="15"/>
        <v>2</v>
      </c>
      <c r="AO75" s="3" t="str">
        <f t="shared" si="16"/>
        <v>No</v>
      </c>
      <c r="AP75" s="17">
        <f t="shared" si="17"/>
        <v>-0.1428571428571429</v>
      </c>
      <c r="AQ75" s="17">
        <f t="shared" si="18"/>
        <v>-7.4179900227448581E-2</v>
      </c>
      <c r="AR75" s="17">
        <f t="shared" si="19"/>
        <v>-0.33333333333333337</v>
      </c>
      <c r="AS75" s="15">
        <f t="shared" si="20"/>
        <v>150000000</v>
      </c>
      <c r="AT75" s="17">
        <f t="shared" si="21"/>
        <v>8.3333333333333329E-2</v>
      </c>
      <c r="AU75" s="17">
        <f t="shared" si="22"/>
        <v>0.33333333333333331</v>
      </c>
      <c r="AV75" s="15">
        <f t="shared" si="23"/>
        <v>125000000</v>
      </c>
      <c r="AW75" s="18">
        <f t="shared" si="24"/>
        <v>0.16666666666666666</v>
      </c>
      <c r="AX75" s="27" t="str">
        <f>IF(OR(K75&lt;Outlier_Audit!$H$2,K75&gt;Outlier_Audit!$I$2),"Review","Normal")</f>
        <v>Normal</v>
      </c>
      <c r="AY75" t="str">
        <f t="shared" si="25"/>
        <v>20-29 years</v>
      </c>
      <c r="AZ75" t="str">
        <f>IF(AQ75="","Missing",IF(AQ75&gt;=EDA_Performance!$B$7,"High Growth",IF(AQ75&lt;=EDA_Performance!$B$5,"Low Growth","Middle")))</f>
        <v>Low Growth</v>
      </c>
    </row>
    <row r="76" spans="1:52">
      <c r="A76" s="12">
        <v>1614309</v>
      </c>
      <c r="B76" s="3" t="s">
        <v>74</v>
      </c>
      <c r="C76" s="3" t="s">
        <v>58</v>
      </c>
      <c r="D76" s="13">
        <v>9</v>
      </c>
      <c r="E76" s="13">
        <v>1061</v>
      </c>
      <c r="F76" s="13">
        <v>10</v>
      </c>
      <c r="G76" s="3" t="s">
        <v>51</v>
      </c>
      <c r="H76" s="13">
        <v>2002</v>
      </c>
      <c r="I76" s="13"/>
      <c r="J76" s="14">
        <v>11.033946990966797</v>
      </c>
      <c r="K76" s="15">
        <v>48000000</v>
      </c>
      <c r="L76" s="15"/>
      <c r="M76" s="16">
        <v>80</v>
      </c>
      <c r="N76" s="13">
        <v>9</v>
      </c>
      <c r="O76" s="13"/>
      <c r="P76" s="15">
        <v>24000000</v>
      </c>
      <c r="Q76" s="15">
        <v>10000000</v>
      </c>
      <c r="R76" s="15">
        <v>50000000</v>
      </c>
      <c r="S76" s="16">
        <v>0</v>
      </c>
      <c r="T76" s="3" t="s">
        <v>60</v>
      </c>
      <c r="U76" s="3" t="s">
        <v>53</v>
      </c>
      <c r="V76" s="3" t="s">
        <v>52</v>
      </c>
      <c r="W76" s="16">
        <v>90</v>
      </c>
      <c r="X76" s="16">
        <v>0</v>
      </c>
      <c r="Y76" s="16">
        <v>0</v>
      </c>
      <c r="Z76" s="3" t="s">
        <v>53</v>
      </c>
      <c r="AA76" s="15"/>
      <c r="AB76" s="3" t="s">
        <v>53</v>
      </c>
      <c r="AC76" s="3" t="s">
        <v>53</v>
      </c>
      <c r="AD76" s="3" t="s">
        <v>52</v>
      </c>
      <c r="AE76" s="16">
        <v>2</v>
      </c>
      <c r="AF76" s="3" t="s">
        <v>67</v>
      </c>
      <c r="AG76" s="3" t="s">
        <v>67</v>
      </c>
      <c r="AH76" s="3" t="s">
        <v>67</v>
      </c>
      <c r="AI76" s="3" t="s">
        <v>67</v>
      </c>
      <c r="AJ76" s="3" t="s">
        <v>56</v>
      </c>
      <c r="AK76" s="3" t="s">
        <v>75</v>
      </c>
      <c r="AL76" s="13">
        <f t="shared" si="13"/>
        <v>22</v>
      </c>
      <c r="AM76" s="15">
        <f t="shared" si="14"/>
        <v>0</v>
      </c>
      <c r="AN76" s="3">
        <f t="shared" si="15"/>
        <v>2</v>
      </c>
      <c r="AO76" s="3" t="str">
        <f t="shared" si="16"/>
        <v>No</v>
      </c>
      <c r="AP76" s="17" t="str">
        <f t="shared" si="17"/>
        <v/>
      </c>
      <c r="AQ76" s="17" t="str">
        <f t="shared" si="18"/>
        <v/>
      </c>
      <c r="AR76" s="17" t="str">
        <f t="shared" si="19"/>
        <v/>
      </c>
      <c r="AS76" s="15">
        <f t="shared" si="20"/>
        <v>5333333.333333333</v>
      </c>
      <c r="AT76" s="17">
        <f t="shared" si="21"/>
        <v>0.5</v>
      </c>
      <c r="AU76" s="17">
        <f t="shared" si="22"/>
        <v>0.20833333333333334</v>
      </c>
      <c r="AV76" s="15">
        <f t="shared" si="23"/>
        <v>5555555.555555556</v>
      </c>
      <c r="AW76" s="18">
        <f t="shared" si="24"/>
        <v>0</v>
      </c>
      <c r="AX76" s="27" t="str">
        <f>IF(OR(K76&lt;Outlier_Audit!$H$2,K76&gt;Outlier_Audit!$I$2),"Review","Normal")</f>
        <v>Normal</v>
      </c>
      <c r="AY76" t="str">
        <f t="shared" si="25"/>
        <v>20-29 years</v>
      </c>
      <c r="AZ76" t="str">
        <f>IF(AQ76="","Missing",IF(AQ76&gt;=EDA_Performance!$B$7,"High Growth",IF(AQ76&lt;=EDA_Performance!$B$5,"Low Growth","Middle")))</f>
        <v>Missing</v>
      </c>
    </row>
    <row r="77" spans="1:52">
      <c r="A77" s="12">
        <v>1614310</v>
      </c>
      <c r="B77" s="3" t="s">
        <v>49</v>
      </c>
      <c r="C77" s="3" t="s">
        <v>66</v>
      </c>
      <c r="D77" s="13">
        <v>80</v>
      </c>
      <c r="E77" s="13">
        <v>1511</v>
      </c>
      <c r="F77" s="13">
        <v>15</v>
      </c>
      <c r="G77" s="3" t="s">
        <v>92</v>
      </c>
      <c r="H77" s="13">
        <v>1995</v>
      </c>
      <c r="I77" s="13">
        <v>20</v>
      </c>
      <c r="J77" s="14">
        <v>1.2895220518112183</v>
      </c>
      <c r="K77" s="15">
        <v>5483616000</v>
      </c>
      <c r="L77" s="15">
        <v>2000000000</v>
      </c>
      <c r="M77" s="16">
        <v>30</v>
      </c>
      <c r="N77" s="13">
        <v>200</v>
      </c>
      <c r="O77" s="13">
        <v>150</v>
      </c>
      <c r="P77" s="15">
        <v>300000000</v>
      </c>
      <c r="Q77" s="15">
        <v>500000000</v>
      </c>
      <c r="R77" s="15">
        <v>300000000</v>
      </c>
      <c r="S77" s="16">
        <v>100</v>
      </c>
      <c r="T77" s="3" t="s">
        <v>53</v>
      </c>
      <c r="U77" s="3" t="s">
        <v>53</v>
      </c>
      <c r="V77" s="3" t="s">
        <v>53</v>
      </c>
      <c r="W77" s="16">
        <v>0</v>
      </c>
      <c r="X77" s="16">
        <v>0</v>
      </c>
      <c r="Y77" s="16">
        <v>0</v>
      </c>
      <c r="Z77" s="3" t="s">
        <v>53</v>
      </c>
      <c r="AA77" s="15"/>
      <c r="AB77" s="3" t="s">
        <v>52</v>
      </c>
      <c r="AC77" s="3" t="s">
        <v>53</v>
      </c>
      <c r="AD77" s="3" t="s">
        <v>52</v>
      </c>
      <c r="AE77" s="16">
        <v>5</v>
      </c>
      <c r="AF77" s="3" t="s">
        <v>55</v>
      </c>
      <c r="AG77" s="3" t="s">
        <v>54</v>
      </c>
      <c r="AH77" s="3" t="s">
        <v>55</v>
      </c>
      <c r="AI77" s="3" t="s">
        <v>61</v>
      </c>
      <c r="AJ77" s="3" t="s">
        <v>68</v>
      </c>
      <c r="AK77" s="3" t="s">
        <v>57</v>
      </c>
      <c r="AL77" s="13">
        <f t="shared" si="13"/>
        <v>29</v>
      </c>
      <c r="AM77" s="15">
        <f t="shared" si="14"/>
        <v>0</v>
      </c>
      <c r="AN77" s="3">
        <f t="shared" si="15"/>
        <v>5</v>
      </c>
      <c r="AO77" s="3" t="str">
        <f t="shared" si="16"/>
        <v>Yes</v>
      </c>
      <c r="AP77" s="17">
        <f t="shared" si="17"/>
        <v>1.7418079999999998</v>
      </c>
      <c r="AQ77" s="17">
        <f t="shared" si="18"/>
        <v>0.65584057203584667</v>
      </c>
      <c r="AR77" s="17">
        <f t="shared" si="19"/>
        <v>0.33333333333333326</v>
      </c>
      <c r="AS77" s="15">
        <f t="shared" si="20"/>
        <v>27418080</v>
      </c>
      <c r="AT77" s="17">
        <f t="shared" si="21"/>
        <v>5.4708425972934648E-2</v>
      </c>
      <c r="AU77" s="17">
        <f t="shared" si="22"/>
        <v>9.1180709954891082E-2</v>
      </c>
      <c r="AV77" s="15">
        <f t="shared" si="23"/>
        <v>1500000</v>
      </c>
      <c r="AW77" s="18">
        <f t="shared" si="24"/>
        <v>0</v>
      </c>
      <c r="AX77" s="27" t="str">
        <f>IF(OR(K77&lt;Outlier_Audit!$H$2,K77&gt;Outlier_Audit!$I$2),"Review","Normal")</f>
        <v>Normal</v>
      </c>
      <c r="AY77" t="str">
        <f t="shared" si="25"/>
        <v>20-29 years</v>
      </c>
      <c r="AZ77" t="str">
        <f>IF(AQ77="","Missing",IF(AQ77&gt;=EDA_Performance!$B$7,"High Growth",IF(AQ77&lt;=EDA_Performance!$B$5,"Low Growth","Middle")))</f>
        <v>High Growth</v>
      </c>
    </row>
    <row r="78" spans="1:52">
      <c r="A78" s="12">
        <v>1614312</v>
      </c>
      <c r="B78" s="3" t="s">
        <v>49</v>
      </c>
      <c r="C78" s="3" t="s">
        <v>58</v>
      </c>
      <c r="D78" s="13">
        <v>13</v>
      </c>
      <c r="E78" s="13">
        <v>1071</v>
      </c>
      <c r="F78" s="13">
        <v>10</v>
      </c>
      <c r="G78" s="3" t="s">
        <v>51</v>
      </c>
      <c r="H78" s="13">
        <v>2010</v>
      </c>
      <c r="I78" s="13">
        <v>15</v>
      </c>
      <c r="J78" s="14">
        <v>7.8370919227600098</v>
      </c>
      <c r="K78" s="15">
        <v>400000000</v>
      </c>
      <c r="L78" s="15">
        <v>350000000</v>
      </c>
      <c r="M78" s="16">
        <v>90</v>
      </c>
      <c r="N78" s="13">
        <v>7</v>
      </c>
      <c r="O78" s="13">
        <v>7</v>
      </c>
      <c r="P78" s="15">
        <v>39000000</v>
      </c>
      <c r="Q78" s="15">
        <v>80000000</v>
      </c>
      <c r="R78" s="15">
        <v>90000000</v>
      </c>
      <c r="S78" s="16">
        <v>0</v>
      </c>
      <c r="T78" s="3" t="s">
        <v>60</v>
      </c>
      <c r="U78" s="3" t="s">
        <v>52</v>
      </c>
      <c r="V78" s="3" t="s">
        <v>53</v>
      </c>
      <c r="W78" s="16">
        <v>80</v>
      </c>
      <c r="X78" s="16">
        <v>0</v>
      </c>
      <c r="Y78" s="16">
        <v>0</v>
      </c>
      <c r="Z78" s="3" t="s">
        <v>53</v>
      </c>
      <c r="AA78" s="15"/>
      <c r="AB78" s="3" t="s">
        <v>53</v>
      </c>
      <c r="AC78" s="3" t="s">
        <v>53</v>
      </c>
      <c r="AD78" s="3" t="s">
        <v>52</v>
      </c>
      <c r="AE78" s="16">
        <v>5</v>
      </c>
      <c r="AF78" s="3" t="s">
        <v>55</v>
      </c>
      <c r="AG78" s="3" t="s">
        <v>55</v>
      </c>
      <c r="AH78" s="3" t="s">
        <v>54</v>
      </c>
      <c r="AI78" s="3" t="s">
        <v>55</v>
      </c>
      <c r="AJ78" s="3" t="s">
        <v>63</v>
      </c>
      <c r="AK78" s="3" t="s">
        <v>64</v>
      </c>
      <c r="AL78" s="13">
        <f t="shared" si="13"/>
        <v>14</v>
      </c>
      <c r="AM78" s="15">
        <f t="shared" si="14"/>
        <v>0</v>
      </c>
      <c r="AN78" s="3">
        <f t="shared" si="15"/>
        <v>5</v>
      </c>
      <c r="AO78" s="3" t="str">
        <f t="shared" si="16"/>
        <v>No</v>
      </c>
      <c r="AP78" s="17">
        <f t="shared" si="17"/>
        <v>0.14285714285714279</v>
      </c>
      <c r="AQ78" s="17">
        <f t="shared" si="18"/>
        <v>6.9044967649697586E-2</v>
      </c>
      <c r="AR78" s="17">
        <f t="shared" si="19"/>
        <v>0</v>
      </c>
      <c r="AS78" s="15">
        <f t="shared" si="20"/>
        <v>57142857.142857142</v>
      </c>
      <c r="AT78" s="17">
        <f t="shared" si="21"/>
        <v>9.7500000000000003E-2</v>
      </c>
      <c r="AU78" s="17">
        <f t="shared" si="22"/>
        <v>0.2</v>
      </c>
      <c r="AV78" s="15">
        <f t="shared" si="23"/>
        <v>12857142.857142856</v>
      </c>
      <c r="AW78" s="18">
        <f t="shared" si="24"/>
        <v>0</v>
      </c>
      <c r="AX78" s="27" t="str">
        <f>IF(OR(K78&lt;Outlier_Audit!$H$2,K78&gt;Outlier_Audit!$I$2),"Review","Normal")</f>
        <v>Normal</v>
      </c>
      <c r="AY78" t="str">
        <f t="shared" si="25"/>
        <v>10-19 years</v>
      </c>
      <c r="AZ78" t="str">
        <f>IF(AQ78="","Missing",IF(AQ78&gt;=EDA_Performance!$B$7,"High Growth",IF(AQ78&lt;=EDA_Performance!$B$5,"Low Growth","Middle")))</f>
        <v>Middle</v>
      </c>
    </row>
    <row r="79" spans="1:52">
      <c r="A79" s="12">
        <v>1614314</v>
      </c>
      <c r="B79" s="3" t="s">
        <v>65</v>
      </c>
      <c r="C79" s="3" t="s">
        <v>58</v>
      </c>
      <c r="D79" s="13">
        <v>6</v>
      </c>
      <c r="E79" s="13">
        <v>2591</v>
      </c>
      <c r="F79" s="13">
        <v>25</v>
      </c>
      <c r="G79" s="3" t="s">
        <v>76</v>
      </c>
      <c r="H79" s="13">
        <v>2004</v>
      </c>
      <c r="I79" s="13">
        <v>21</v>
      </c>
      <c r="J79" s="14">
        <v>157.86735534667969</v>
      </c>
      <c r="K79" s="15">
        <v>10000000</v>
      </c>
      <c r="L79" s="15">
        <v>4000000</v>
      </c>
      <c r="M79" s="16">
        <v>100</v>
      </c>
      <c r="N79" s="13">
        <v>6</v>
      </c>
      <c r="O79" s="13">
        <v>8</v>
      </c>
      <c r="P79" s="15">
        <v>4000000</v>
      </c>
      <c r="Q79" s="15"/>
      <c r="R79" s="15">
        <v>25000000</v>
      </c>
      <c r="S79" s="16">
        <v>0</v>
      </c>
      <c r="T79" s="3" t="s">
        <v>60</v>
      </c>
      <c r="U79" s="3" t="s">
        <v>52</v>
      </c>
      <c r="V79" s="3" t="s">
        <v>52</v>
      </c>
      <c r="W79" s="16">
        <v>68</v>
      </c>
      <c r="X79" s="16">
        <v>0</v>
      </c>
      <c r="Y79" s="16">
        <v>0</v>
      </c>
      <c r="Z79" s="3" t="s">
        <v>52</v>
      </c>
      <c r="AA79" s="15">
        <v>15000000</v>
      </c>
      <c r="AB79" s="3" t="s">
        <v>53</v>
      </c>
      <c r="AC79" s="3" t="s">
        <v>52</v>
      </c>
      <c r="AD79" s="3" t="s">
        <v>52</v>
      </c>
      <c r="AE79" s="16">
        <v>8</v>
      </c>
      <c r="AF79" s="3" t="s">
        <v>61</v>
      </c>
      <c r="AG79" s="3" t="s">
        <v>55</v>
      </c>
      <c r="AH79" s="3" t="s">
        <v>54</v>
      </c>
      <c r="AI79" s="3" t="s">
        <v>54</v>
      </c>
      <c r="AJ79" s="3" t="s">
        <v>70</v>
      </c>
      <c r="AK79" s="3" t="s">
        <v>64</v>
      </c>
      <c r="AL79" s="13">
        <f t="shared" si="13"/>
        <v>20</v>
      </c>
      <c r="AM79" s="15">
        <f t="shared" si="14"/>
        <v>15000000</v>
      </c>
      <c r="AN79" s="3">
        <f t="shared" si="15"/>
        <v>8</v>
      </c>
      <c r="AO79" s="3" t="str">
        <f t="shared" si="16"/>
        <v>No</v>
      </c>
      <c r="AP79" s="17">
        <f t="shared" si="17"/>
        <v>1.5</v>
      </c>
      <c r="AQ79" s="17">
        <f t="shared" si="18"/>
        <v>0.58113883008418976</v>
      </c>
      <c r="AR79" s="17">
        <f t="shared" si="19"/>
        <v>-0.25</v>
      </c>
      <c r="AS79" s="15">
        <f t="shared" si="20"/>
        <v>1666666.6666666667</v>
      </c>
      <c r="AT79" s="17">
        <f t="shared" si="21"/>
        <v>0.4</v>
      </c>
      <c r="AU79" s="17" t="str">
        <f t="shared" si="22"/>
        <v/>
      </c>
      <c r="AV79" s="15">
        <f t="shared" si="23"/>
        <v>4166666.6666666665</v>
      </c>
      <c r="AW79" s="18">
        <f t="shared" si="24"/>
        <v>1.5</v>
      </c>
      <c r="AX79" s="27" t="str">
        <f>IF(OR(K79&lt;Outlier_Audit!$H$2,K79&gt;Outlier_Audit!$I$2),"Review","Normal")</f>
        <v>Normal</v>
      </c>
      <c r="AY79" t="str">
        <f t="shared" si="25"/>
        <v>20-29 years</v>
      </c>
      <c r="AZ79" t="str">
        <f>IF(AQ79="","Missing",IF(AQ79&gt;=EDA_Performance!$B$7,"High Growth",IF(AQ79&lt;=EDA_Performance!$B$5,"Low Growth","Middle")))</f>
        <v>High Growth</v>
      </c>
    </row>
    <row r="80" spans="1:52">
      <c r="A80" s="12">
        <v>1614316</v>
      </c>
      <c r="B80" s="3" t="s">
        <v>74</v>
      </c>
      <c r="C80" s="3" t="s">
        <v>66</v>
      </c>
      <c r="D80" s="13">
        <v>20</v>
      </c>
      <c r="E80" s="13">
        <v>1050</v>
      </c>
      <c r="F80" s="13">
        <v>10</v>
      </c>
      <c r="G80" s="3" t="s">
        <v>51</v>
      </c>
      <c r="H80" s="13">
        <v>2016</v>
      </c>
      <c r="I80" s="13"/>
      <c r="J80" s="14">
        <v>1.5243005752563477</v>
      </c>
      <c r="K80" s="15"/>
      <c r="L80" s="15"/>
      <c r="M80" s="16">
        <v>80</v>
      </c>
      <c r="N80" s="13">
        <v>15</v>
      </c>
      <c r="O80" s="13"/>
      <c r="P80" s="15">
        <v>142800000</v>
      </c>
      <c r="Q80" s="15"/>
      <c r="R80" s="15">
        <v>500000000</v>
      </c>
      <c r="S80" s="16">
        <v>0</v>
      </c>
      <c r="T80" s="3" t="s">
        <v>52</v>
      </c>
      <c r="U80" s="3" t="s">
        <v>52</v>
      </c>
      <c r="V80" s="3" t="s">
        <v>52</v>
      </c>
      <c r="W80" s="16">
        <v>100</v>
      </c>
      <c r="X80" s="16">
        <v>0</v>
      </c>
      <c r="Y80" s="16">
        <v>0</v>
      </c>
      <c r="Z80" s="3" t="s">
        <v>52</v>
      </c>
      <c r="AA80" s="15">
        <v>6000000</v>
      </c>
      <c r="AB80" s="3" t="s">
        <v>53</v>
      </c>
      <c r="AC80" s="3" t="s">
        <v>53</v>
      </c>
      <c r="AD80" s="3" t="s">
        <v>52</v>
      </c>
      <c r="AE80" s="16">
        <v>4</v>
      </c>
      <c r="AF80" s="3" t="s">
        <v>54</v>
      </c>
      <c r="AG80" s="3" t="s">
        <v>67</v>
      </c>
      <c r="AH80" s="3" t="s">
        <v>67</v>
      </c>
      <c r="AI80" s="3" t="s">
        <v>55</v>
      </c>
      <c r="AJ80" s="3" t="s">
        <v>70</v>
      </c>
      <c r="AK80" s="3" t="s">
        <v>75</v>
      </c>
      <c r="AL80" s="13">
        <f t="shared" si="13"/>
        <v>8</v>
      </c>
      <c r="AM80" s="15">
        <f t="shared" si="14"/>
        <v>6000000</v>
      </c>
      <c r="AN80" s="3">
        <f t="shared" si="15"/>
        <v>4</v>
      </c>
      <c r="AO80" s="3" t="str">
        <f t="shared" si="16"/>
        <v>No</v>
      </c>
      <c r="AP80" s="17" t="str">
        <f t="shared" si="17"/>
        <v/>
      </c>
      <c r="AQ80" s="17" t="str">
        <f t="shared" si="18"/>
        <v/>
      </c>
      <c r="AR80" s="17" t="str">
        <f t="shared" si="19"/>
        <v/>
      </c>
      <c r="AS80" s="15" t="str">
        <f t="shared" si="20"/>
        <v/>
      </c>
      <c r="AT80" s="17" t="str">
        <f t="shared" si="21"/>
        <v/>
      </c>
      <c r="AU80" s="17" t="str">
        <f t="shared" si="22"/>
        <v/>
      </c>
      <c r="AV80" s="15">
        <f t="shared" si="23"/>
        <v>33333333.333333332</v>
      </c>
      <c r="AW80" s="18" t="str">
        <f t="shared" si="24"/>
        <v/>
      </c>
      <c r="AX80" s="27" t="str">
        <f>IF(OR(K80&lt;Outlier_Audit!$H$2,K80&gt;Outlier_Audit!$I$2),"Review","Normal")</f>
        <v>Normal</v>
      </c>
      <c r="AY80" t="str">
        <f t="shared" si="25"/>
        <v>&lt;10 years</v>
      </c>
      <c r="AZ80" t="str">
        <f>IF(AQ80="","Missing",IF(AQ80&gt;=EDA_Performance!$B$7,"High Growth",IF(AQ80&lt;=EDA_Performance!$B$5,"Low Growth","Middle")))</f>
        <v>Missing</v>
      </c>
    </row>
    <row r="81" spans="1:52">
      <c r="A81" s="12">
        <v>1614317</v>
      </c>
      <c r="B81" s="3" t="s">
        <v>49</v>
      </c>
      <c r="C81" s="3" t="s">
        <v>58</v>
      </c>
      <c r="D81" s="13">
        <v>7</v>
      </c>
      <c r="E81" s="13">
        <v>1062</v>
      </c>
      <c r="F81" s="13">
        <v>10</v>
      </c>
      <c r="G81" s="3" t="s">
        <v>51</v>
      </c>
      <c r="H81" s="13">
        <v>2019</v>
      </c>
      <c r="I81" s="13">
        <v>5</v>
      </c>
      <c r="J81" s="14">
        <v>1.7984211444854736</v>
      </c>
      <c r="K81" s="15">
        <v>24000000</v>
      </c>
      <c r="L81" s="15">
        <v>20000000</v>
      </c>
      <c r="M81" s="16">
        <v>70</v>
      </c>
      <c r="N81" s="13">
        <v>7</v>
      </c>
      <c r="O81" s="13">
        <v>4</v>
      </c>
      <c r="P81" s="15">
        <v>10000000</v>
      </c>
      <c r="Q81" s="15">
        <v>5000000</v>
      </c>
      <c r="R81" s="15">
        <v>15000000</v>
      </c>
      <c r="S81" s="16">
        <v>0</v>
      </c>
      <c r="T81" s="3" t="s">
        <v>60</v>
      </c>
      <c r="U81" s="3" t="s">
        <v>53</v>
      </c>
      <c r="V81" s="3" t="s">
        <v>53</v>
      </c>
      <c r="W81" s="16">
        <v>30</v>
      </c>
      <c r="X81" s="16">
        <v>70</v>
      </c>
      <c r="Y81" s="16">
        <v>0</v>
      </c>
      <c r="Z81" s="3" t="s">
        <v>53</v>
      </c>
      <c r="AA81" s="15"/>
      <c r="AB81" s="3" t="s">
        <v>52</v>
      </c>
      <c r="AC81" s="3" t="s">
        <v>53</v>
      </c>
      <c r="AD81" s="3" t="s">
        <v>52</v>
      </c>
      <c r="AE81" s="16">
        <v>4</v>
      </c>
      <c r="AF81" s="3" t="s">
        <v>55</v>
      </c>
      <c r="AG81" s="3" t="s">
        <v>55</v>
      </c>
      <c r="AH81" s="3" t="s">
        <v>62</v>
      </c>
      <c r="AI81" s="3" t="s">
        <v>55</v>
      </c>
      <c r="AJ81" s="3" t="s">
        <v>63</v>
      </c>
      <c r="AK81" s="3" t="s">
        <v>64</v>
      </c>
      <c r="AL81" s="13">
        <f t="shared" si="13"/>
        <v>5</v>
      </c>
      <c r="AM81" s="15">
        <f t="shared" si="14"/>
        <v>0</v>
      </c>
      <c r="AN81" s="3">
        <f t="shared" si="15"/>
        <v>4</v>
      </c>
      <c r="AO81" s="3" t="str">
        <f t="shared" si="16"/>
        <v>No</v>
      </c>
      <c r="AP81" s="17">
        <f t="shared" si="17"/>
        <v>0.19999999999999996</v>
      </c>
      <c r="AQ81" s="17">
        <f t="shared" si="18"/>
        <v>9.5445115010332149E-2</v>
      </c>
      <c r="AR81" s="17">
        <f t="shared" si="19"/>
        <v>0.75</v>
      </c>
      <c r="AS81" s="15">
        <f t="shared" si="20"/>
        <v>3428571.4285714286</v>
      </c>
      <c r="AT81" s="17">
        <f t="shared" si="21"/>
        <v>0.41666666666666669</v>
      </c>
      <c r="AU81" s="17">
        <f t="shared" si="22"/>
        <v>0.20833333333333334</v>
      </c>
      <c r="AV81" s="15">
        <f t="shared" si="23"/>
        <v>2142857.1428571427</v>
      </c>
      <c r="AW81" s="18">
        <f t="shared" si="24"/>
        <v>0</v>
      </c>
      <c r="AX81" s="27" t="str">
        <f>IF(OR(K81&lt;Outlier_Audit!$H$2,K81&gt;Outlier_Audit!$I$2),"Review","Normal")</f>
        <v>Normal</v>
      </c>
      <c r="AY81" t="str">
        <f t="shared" si="25"/>
        <v>&lt;10 years</v>
      </c>
      <c r="AZ81" t="str">
        <f>IF(AQ81="","Missing",IF(AQ81&gt;=EDA_Performance!$B$7,"High Growth",IF(AQ81&lt;=EDA_Performance!$B$5,"Low Growth","Middle")))</f>
        <v>Middle</v>
      </c>
    </row>
    <row r="82" spans="1:52">
      <c r="A82" s="12">
        <v>1614319</v>
      </c>
      <c r="B82" s="3" t="s">
        <v>74</v>
      </c>
      <c r="C82" s="3" t="s">
        <v>66</v>
      </c>
      <c r="D82" s="13">
        <v>20</v>
      </c>
      <c r="E82" s="13">
        <v>2022</v>
      </c>
      <c r="F82" s="13">
        <v>20</v>
      </c>
      <c r="G82" s="3" t="s">
        <v>78</v>
      </c>
      <c r="H82" s="13">
        <v>2017</v>
      </c>
      <c r="I82" s="13">
        <v>6</v>
      </c>
      <c r="J82" s="14">
        <v>2.6198341846466064</v>
      </c>
      <c r="K82" s="15">
        <v>210000000</v>
      </c>
      <c r="L82" s="15">
        <v>180000000</v>
      </c>
      <c r="M82" s="16">
        <v>40</v>
      </c>
      <c r="N82" s="13">
        <v>10</v>
      </c>
      <c r="O82" s="13">
        <v>5</v>
      </c>
      <c r="P82" s="15">
        <v>50000000</v>
      </c>
      <c r="Q82" s="15">
        <v>150000000</v>
      </c>
      <c r="R82" s="15">
        <v>100000000</v>
      </c>
      <c r="S82" s="16">
        <v>0</v>
      </c>
      <c r="T82" s="3" t="s">
        <v>52</v>
      </c>
      <c r="U82" s="3" t="s">
        <v>52</v>
      </c>
      <c r="V82" s="3" t="s">
        <v>52</v>
      </c>
      <c r="W82" s="16">
        <v>20</v>
      </c>
      <c r="X82" s="16">
        <v>20</v>
      </c>
      <c r="Y82" s="16">
        <v>10</v>
      </c>
      <c r="Z82" s="3" t="s">
        <v>52</v>
      </c>
      <c r="AA82" s="15">
        <v>0</v>
      </c>
      <c r="AB82" s="3" t="s">
        <v>52</v>
      </c>
      <c r="AC82" s="3" t="s">
        <v>52</v>
      </c>
      <c r="AD82" s="3" t="s">
        <v>52</v>
      </c>
      <c r="AE82" s="16">
        <v>3</v>
      </c>
      <c r="AF82" s="3" t="s">
        <v>54</v>
      </c>
      <c r="AG82" s="3" t="s">
        <v>55</v>
      </c>
      <c r="AH82" s="3" t="s">
        <v>54</v>
      </c>
      <c r="AI82" s="3" t="s">
        <v>61</v>
      </c>
      <c r="AJ82" s="3" t="s">
        <v>79</v>
      </c>
      <c r="AK82" s="3" t="s">
        <v>75</v>
      </c>
      <c r="AL82" s="13">
        <f t="shared" si="13"/>
        <v>7</v>
      </c>
      <c r="AM82" s="15">
        <f t="shared" si="14"/>
        <v>0</v>
      </c>
      <c r="AN82" s="3">
        <f t="shared" si="15"/>
        <v>3</v>
      </c>
      <c r="AO82" s="3" t="str">
        <f t="shared" si="16"/>
        <v>No</v>
      </c>
      <c r="AP82" s="17">
        <f t="shared" si="17"/>
        <v>0.16666666666666674</v>
      </c>
      <c r="AQ82" s="17">
        <f t="shared" si="18"/>
        <v>8.012344973464347E-2</v>
      </c>
      <c r="AR82" s="17">
        <f t="shared" si="19"/>
        <v>1</v>
      </c>
      <c r="AS82" s="15">
        <f t="shared" si="20"/>
        <v>21000000</v>
      </c>
      <c r="AT82" s="17">
        <f t="shared" si="21"/>
        <v>0.23809523809523808</v>
      </c>
      <c r="AU82" s="17">
        <f t="shared" si="22"/>
        <v>0.7142857142857143</v>
      </c>
      <c r="AV82" s="15">
        <f t="shared" si="23"/>
        <v>10000000</v>
      </c>
      <c r="AW82" s="18">
        <f t="shared" si="24"/>
        <v>0</v>
      </c>
      <c r="AX82" s="27" t="str">
        <f>IF(OR(K82&lt;Outlier_Audit!$H$2,K82&gt;Outlier_Audit!$I$2),"Review","Normal")</f>
        <v>Normal</v>
      </c>
      <c r="AY82" t="str">
        <f t="shared" si="25"/>
        <v>&lt;10 years</v>
      </c>
      <c r="AZ82" t="str">
        <f>IF(AQ82="","Missing",IF(AQ82&gt;=EDA_Performance!$B$7,"High Growth",IF(AQ82&lt;=EDA_Performance!$B$5,"Low Growth","Middle")))</f>
        <v>Middle</v>
      </c>
    </row>
    <row r="83" spans="1:52">
      <c r="A83" s="12">
        <v>1614321</v>
      </c>
      <c r="B83" s="3" t="s">
        <v>49</v>
      </c>
      <c r="C83" s="3" t="s">
        <v>66</v>
      </c>
      <c r="D83" s="13">
        <v>150</v>
      </c>
      <c r="E83" s="13">
        <v>1061</v>
      </c>
      <c r="F83" s="13">
        <v>10</v>
      </c>
      <c r="G83" s="3" t="s">
        <v>51</v>
      </c>
      <c r="H83" s="13">
        <v>2005</v>
      </c>
      <c r="I83" s="13">
        <v>20</v>
      </c>
      <c r="J83" s="14">
        <v>1.6103764772415161</v>
      </c>
      <c r="K83" s="15">
        <v>15000000000</v>
      </c>
      <c r="L83" s="15">
        <v>25000000000</v>
      </c>
      <c r="M83" s="16">
        <v>50</v>
      </c>
      <c r="N83" s="13">
        <v>100</v>
      </c>
      <c r="O83" s="13">
        <v>150</v>
      </c>
      <c r="P83" s="15">
        <v>300000000</v>
      </c>
      <c r="Q83" s="15">
        <v>11000000000</v>
      </c>
      <c r="R83" s="15">
        <v>80000000</v>
      </c>
      <c r="S83" s="16">
        <v>0</v>
      </c>
      <c r="T83" s="3" t="s">
        <v>52</v>
      </c>
      <c r="U83" s="3" t="s">
        <v>53</v>
      </c>
      <c r="V83" s="3" t="s">
        <v>53</v>
      </c>
      <c r="W83" s="16">
        <v>100</v>
      </c>
      <c r="X83" s="16">
        <v>0</v>
      </c>
      <c r="Y83" s="16">
        <v>0</v>
      </c>
      <c r="Z83" s="3" t="s">
        <v>53</v>
      </c>
      <c r="AA83" s="15"/>
      <c r="AB83" s="3" t="s">
        <v>52</v>
      </c>
      <c r="AC83" s="3" t="s">
        <v>53</v>
      </c>
      <c r="AD83" s="3" t="s">
        <v>52</v>
      </c>
      <c r="AE83" s="16">
        <v>1</v>
      </c>
      <c r="AF83" s="3" t="s">
        <v>62</v>
      </c>
      <c r="AG83" s="3" t="s">
        <v>67</v>
      </c>
      <c r="AH83" s="3" t="s">
        <v>62</v>
      </c>
      <c r="AI83" s="3" t="s">
        <v>67</v>
      </c>
      <c r="AJ83" s="3" t="s">
        <v>77</v>
      </c>
      <c r="AK83" s="3" t="s">
        <v>57</v>
      </c>
      <c r="AL83" s="13">
        <f t="shared" si="13"/>
        <v>19</v>
      </c>
      <c r="AM83" s="15">
        <f t="shared" si="14"/>
        <v>0</v>
      </c>
      <c r="AN83" s="3">
        <f t="shared" si="15"/>
        <v>1</v>
      </c>
      <c r="AO83" s="3" t="str">
        <f t="shared" si="16"/>
        <v>No</v>
      </c>
      <c r="AP83" s="17">
        <f t="shared" si="17"/>
        <v>-0.4</v>
      </c>
      <c r="AQ83" s="17">
        <f t="shared" si="18"/>
        <v>-0.2254033307585166</v>
      </c>
      <c r="AR83" s="17">
        <f t="shared" si="19"/>
        <v>-0.33333333333333337</v>
      </c>
      <c r="AS83" s="15">
        <f t="shared" si="20"/>
        <v>150000000</v>
      </c>
      <c r="AT83" s="17">
        <f t="shared" si="21"/>
        <v>0.02</v>
      </c>
      <c r="AU83" s="17">
        <f t="shared" si="22"/>
        <v>0.73333333333333328</v>
      </c>
      <c r="AV83" s="15">
        <f t="shared" si="23"/>
        <v>800000</v>
      </c>
      <c r="AW83" s="18">
        <f t="shared" si="24"/>
        <v>0</v>
      </c>
      <c r="AX83" s="27" t="str">
        <f>IF(OR(K83&lt;Outlier_Audit!$H$2,K83&gt;Outlier_Audit!$I$2),"Review","Normal")</f>
        <v>Review</v>
      </c>
      <c r="AY83" t="str">
        <f t="shared" si="25"/>
        <v>10-19 years</v>
      </c>
      <c r="AZ83" t="str">
        <f>IF(AQ83="","Missing",IF(AQ83&gt;=EDA_Performance!$B$7,"High Growth",IF(AQ83&lt;=EDA_Performance!$B$5,"Low Growth","Middle")))</f>
        <v>Low Growth</v>
      </c>
    </row>
    <row r="84" spans="1:52">
      <c r="A84" s="12">
        <v>1614322</v>
      </c>
      <c r="B84" s="3" t="s">
        <v>49</v>
      </c>
      <c r="C84" s="3" t="s">
        <v>50</v>
      </c>
      <c r="D84" s="13">
        <v>350</v>
      </c>
      <c r="E84" s="13">
        <v>2394</v>
      </c>
      <c r="F84" s="13">
        <v>23</v>
      </c>
      <c r="G84" s="3" t="s">
        <v>83</v>
      </c>
      <c r="H84" s="13">
        <v>2018</v>
      </c>
      <c r="I84" s="13">
        <v>37</v>
      </c>
      <c r="J84" s="14">
        <v>1</v>
      </c>
      <c r="K84" s="15">
        <v>12000000000</v>
      </c>
      <c r="L84" s="15">
        <v>10000000000</v>
      </c>
      <c r="M84" s="16">
        <v>40</v>
      </c>
      <c r="N84" s="13">
        <v>350</v>
      </c>
      <c r="O84" s="13">
        <v>350</v>
      </c>
      <c r="P84" s="15">
        <v>1000000000</v>
      </c>
      <c r="Q84" s="15">
        <v>2500000000</v>
      </c>
      <c r="R84" s="15">
        <v>4000000000</v>
      </c>
      <c r="S84" s="16">
        <v>0</v>
      </c>
      <c r="T84" s="3" t="s">
        <v>52</v>
      </c>
      <c r="U84" s="3" t="s">
        <v>53</v>
      </c>
      <c r="V84" s="3" t="s">
        <v>53</v>
      </c>
      <c r="W84" s="16">
        <v>100</v>
      </c>
      <c r="X84" s="16">
        <v>0</v>
      </c>
      <c r="Y84" s="16">
        <v>0</v>
      </c>
      <c r="Z84" s="3" t="s">
        <v>53</v>
      </c>
      <c r="AA84" s="15"/>
      <c r="AB84" s="3" t="s">
        <v>53</v>
      </c>
      <c r="AC84" s="3" t="s">
        <v>53</v>
      </c>
      <c r="AD84" s="3" t="s">
        <v>52</v>
      </c>
      <c r="AE84" s="16">
        <v>4</v>
      </c>
      <c r="AF84" s="3" t="s">
        <v>55</v>
      </c>
      <c r="AG84" s="3" t="s">
        <v>67</v>
      </c>
      <c r="AH84" s="3" t="s">
        <v>62</v>
      </c>
      <c r="AI84" s="3" t="s">
        <v>62</v>
      </c>
      <c r="AJ84" s="3" t="s">
        <v>63</v>
      </c>
      <c r="AK84" s="3" t="s">
        <v>75</v>
      </c>
      <c r="AL84" s="13">
        <f t="shared" si="13"/>
        <v>6</v>
      </c>
      <c r="AM84" s="15">
        <f t="shared" si="14"/>
        <v>0</v>
      </c>
      <c r="AN84" s="3">
        <f t="shared" si="15"/>
        <v>4</v>
      </c>
      <c r="AO84" s="3" t="str">
        <f t="shared" si="16"/>
        <v>No</v>
      </c>
      <c r="AP84" s="17">
        <f t="shared" si="17"/>
        <v>0.19999999999999996</v>
      </c>
      <c r="AQ84" s="17">
        <f t="shared" si="18"/>
        <v>9.5445115010332149E-2</v>
      </c>
      <c r="AR84" s="17">
        <f t="shared" si="19"/>
        <v>0</v>
      </c>
      <c r="AS84" s="15">
        <f t="shared" si="20"/>
        <v>34285714.285714284</v>
      </c>
      <c r="AT84" s="17">
        <f t="shared" si="21"/>
        <v>8.3333333333333329E-2</v>
      </c>
      <c r="AU84" s="17">
        <f t="shared" si="22"/>
        <v>0.20833333333333334</v>
      </c>
      <c r="AV84" s="15">
        <f t="shared" si="23"/>
        <v>11428571.428571429</v>
      </c>
      <c r="AW84" s="18">
        <f t="shared" si="24"/>
        <v>0</v>
      </c>
      <c r="AX84" s="27" t="str">
        <f>IF(OR(K84&lt;Outlier_Audit!$H$2,K84&gt;Outlier_Audit!$I$2),"Review","Normal")</f>
        <v>Review</v>
      </c>
      <c r="AY84" t="str">
        <f t="shared" si="25"/>
        <v>&lt;10 years</v>
      </c>
      <c r="AZ84" t="str">
        <f>IF(AQ84="","Missing",IF(AQ84&gt;=EDA_Performance!$B$7,"High Growth",IF(AQ84&lt;=EDA_Performance!$B$5,"Low Growth","Middle")))</f>
        <v>Middle</v>
      </c>
    </row>
    <row r="85" spans="1:52">
      <c r="A85" s="12">
        <v>1614327</v>
      </c>
      <c r="B85" s="3" t="s">
        <v>65</v>
      </c>
      <c r="C85" s="3" t="s">
        <v>66</v>
      </c>
      <c r="D85" s="13">
        <v>10</v>
      </c>
      <c r="E85" s="13">
        <v>1811</v>
      </c>
      <c r="F85" s="13">
        <v>18</v>
      </c>
      <c r="G85" s="3" t="s">
        <v>72</v>
      </c>
      <c r="H85" s="13">
        <v>2000</v>
      </c>
      <c r="I85" s="13">
        <v>20</v>
      </c>
      <c r="J85" s="14">
        <v>48.349552154541016</v>
      </c>
      <c r="K85" s="15">
        <v>30000000</v>
      </c>
      <c r="L85" s="15">
        <v>8000000</v>
      </c>
      <c r="M85" s="16">
        <v>89</v>
      </c>
      <c r="N85" s="13">
        <v>8</v>
      </c>
      <c r="O85" s="13">
        <v>2</v>
      </c>
      <c r="P85" s="15">
        <v>15000000</v>
      </c>
      <c r="Q85" s="15">
        <v>6000000</v>
      </c>
      <c r="R85" s="15">
        <v>50000000</v>
      </c>
      <c r="S85" s="16">
        <v>0</v>
      </c>
      <c r="T85" s="3" t="s">
        <v>60</v>
      </c>
      <c r="U85" s="3" t="s">
        <v>52</v>
      </c>
      <c r="V85" s="3" t="s">
        <v>53</v>
      </c>
      <c r="W85" s="16">
        <v>50</v>
      </c>
      <c r="X85" s="16">
        <v>0</v>
      </c>
      <c r="Y85" s="16">
        <v>2</v>
      </c>
      <c r="Z85" s="3" t="s">
        <v>53</v>
      </c>
      <c r="AA85" s="15"/>
      <c r="AB85" s="3" t="s">
        <v>53</v>
      </c>
      <c r="AC85" s="3" t="s">
        <v>53</v>
      </c>
      <c r="AD85" s="3" t="s">
        <v>53</v>
      </c>
      <c r="AE85" s="16"/>
      <c r="AF85" s="3" t="s">
        <v>62</v>
      </c>
      <c r="AG85" s="3" t="s">
        <v>67</v>
      </c>
      <c r="AH85" s="3" t="s">
        <v>62</v>
      </c>
      <c r="AI85" s="3" t="s">
        <v>67</v>
      </c>
      <c r="AJ85" s="3" t="s">
        <v>68</v>
      </c>
      <c r="AK85" s="3" t="s">
        <v>57</v>
      </c>
      <c r="AL85" s="13">
        <f t="shared" si="13"/>
        <v>24</v>
      </c>
      <c r="AM85" s="15">
        <f t="shared" si="14"/>
        <v>0</v>
      </c>
      <c r="AN85" s="3">
        <f t="shared" si="15"/>
        <v>0</v>
      </c>
      <c r="AO85" s="3" t="str">
        <f t="shared" si="16"/>
        <v>No</v>
      </c>
      <c r="AP85" s="17">
        <f t="shared" si="17"/>
        <v>2.75</v>
      </c>
      <c r="AQ85" s="17">
        <f t="shared" si="18"/>
        <v>0.93649167310370851</v>
      </c>
      <c r="AR85" s="17">
        <f t="shared" si="19"/>
        <v>3</v>
      </c>
      <c r="AS85" s="15">
        <f t="shared" si="20"/>
        <v>3750000</v>
      </c>
      <c r="AT85" s="17">
        <f t="shared" si="21"/>
        <v>0.5</v>
      </c>
      <c r="AU85" s="17">
        <f t="shared" si="22"/>
        <v>0.2</v>
      </c>
      <c r="AV85" s="15">
        <f t="shared" si="23"/>
        <v>6250000</v>
      </c>
      <c r="AW85" s="18">
        <f t="shared" si="24"/>
        <v>0</v>
      </c>
      <c r="AX85" s="27" t="str">
        <f>IF(OR(K85&lt;Outlier_Audit!$H$2,K85&gt;Outlier_Audit!$I$2),"Review","Normal")</f>
        <v>Normal</v>
      </c>
      <c r="AY85" t="str">
        <f t="shared" si="25"/>
        <v>20-29 years</v>
      </c>
      <c r="AZ85" t="str">
        <f>IF(AQ85="","Missing",IF(AQ85&gt;=EDA_Performance!$B$7,"High Growth",IF(AQ85&lt;=EDA_Performance!$B$5,"Low Growth","Middle")))</f>
        <v>High Growth</v>
      </c>
    </row>
    <row r="86" spans="1:52">
      <c r="A86" s="12">
        <v>1614329</v>
      </c>
      <c r="B86" s="3" t="s">
        <v>49</v>
      </c>
      <c r="C86" s="3" t="s">
        <v>66</v>
      </c>
      <c r="D86" s="13">
        <v>6</v>
      </c>
      <c r="E86" s="13">
        <v>3100</v>
      </c>
      <c r="F86" s="13">
        <v>31</v>
      </c>
      <c r="G86" s="3" t="s">
        <v>71</v>
      </c>
      <c r="H86" s="13">
        <v>2010</v>
      </c>
      <c r="I86" s="13">
        <v>15</v>
      </c>
      <c r="J86" s="14">
        <v>1.6637996435165405</v>
      </c>
      <c r="K86" s="15">
        <v>250000000</v>
      </c>
      <c r="L86" s="15">
        <v>230000000</v>
      </c>
      <c r="M86" s="16">
        <v>90</v>
      </c>
      <c r="N86" s="13">
        <v>5</v>
      </c>
      <c r="O86" s="13">
        <v>5</v>
      </c>
      <c r="P86" s="15">
        <v>25200000</v>
      </c>
      <c r="Q86" s="15">
        <v>30000000</v>
      </c>
      <c r="R86" s="15">
        <v>60000000</v>
      </c>
      <c r="S86" s="16">
        <v>0</v>
      </c>
      <c r="T86" s="3" t="s">
        <v>60</v>
      </c>
      <c r="U86" s="3" t="s">
        <v>53</v>
      </c>
      <c r="V86" s="3" t="s">
        <v>53</v>
      </c>
      <c r="W86" s="16">
        <v>90</v>
      </c>
      <c r="X86" s="16">
        <v>0</v>
      </c>
      <c r="Y86" s="16">
        <v>0</v>
      </c>
      <c r="Z86" s="3" t="s">
        <v>53</v>
      </c>
      <c r="AA86" s="15"/>
      <c r="AB86" s="3" t="s">
        <v>53</v>
      </c>
      <c r="AC86" s="3" t="s">
        <v>53</v>
      </c>
      <c r="AD86" s="3" t="s">
        <v>53</v>
      </c>
      <c r="AE86" s="16"/>
      <c r="AF86" s="3" t="s">
        <v>54</v>
      </c>
      <c r="AG86" s="3" t="s">
        <v>54</v>
      </c>
      <c r="AH86" s="3" t="s">
        <v>62</v>
      </c>
      <c r="AI86" s="3" t="s">
        <v>55</v>
      </c>
      <c r="AJ86" s="3" t="s">
        <v>79</v>
      </c>
      <c r="AK86" s="3" t="s">
        <v>64</v>
      </c>
      <c r="AL86" s="13">
        <f t="shared" si="13"/>
        <v>14</v>
      </c>
      <c r="AM86" s="15">
        <f t="shared" si="14"/>
        <v>0</v>
      </c>
      <c r="AN86" s="3">
        <f t="shared" si="15"/>
        <v>0</v>
      </c>
      <c r="AO86" s="3" t="str">
        <f t="shared" si="16"/>
        <v>No</v>
      </c>
      <c r="AP86" s="17">
        <f t="shared" si="17"/>
        <v>8.6956521739130377E-2</v>
      </c>
      <c r="AQ86" s="17">
        <f t="shared" si="18"/>
        <v>4.2572070285373798E-2</v>
      </c>
      <c r="AR86" s="17">
        <f t="shared" si="19"/>
        <v>0</v>
      </c>
      <c r="AS86" s="15">
        <f t="shared" si="20"/>
        <v>50000000</v>
      </c>
      <c r="AT86" s="17">
        <f t="shared" si="21"/>
        <v>0.1008</v>
      </c>
      <c r="AU86" s="17">
        <f t="shared" si="22"/>
        <v>0.12</v>
      </c>
      <c r="AV86" s="15">
        <f t="shared" si="23"/>
        <v>12000000</v>
      </c>
      <c r="AW86" s="18">
        <f t="shared" si="24"/>
        <v>0</v>
      </c>
      <c r="AX86" s="27" t="str">
        <f>IF(OR(K86&lt;Outlier_Audit!$H$2,K86&gt;Outlier_Audit!$I$2),"Review","Normal")</f>
        <v>Normal</v>
      </c>
      <c r="AY86" t="str">
        <f t="shared" si="25"/>
        <v>10-19 years</v>
      </c>
      <c r="AZ86" t="str">
        <f>IF(AQ86="","Missing",IF(AQ86&gt;=EDA_Performance!$B$7,"High Growth",IF(AQ86&lt;=EDA_Performance!$B$5,"Low Growth","Middle")))</f>
        <v>Middle</v>
      </c>
    </row>
    <row r="87" spans="1:52">
      <c r="A87" s="12">
        <v>1614330</v>
      </c>
      <c r="B87" s="3" t="s">
        <v>74</v>
      </c>
      <c r="C87" s="3" t="s">
        <v>66</v>
      </c>
      <c r="D87" s="13">
        <v>11</v>
      </c>
      <c r="E87" s="13">
        <v>2511</v>
      </c>
      <c r="F87" s="13">
        <v>25</v>
      </c>
      <c r="G87" s="3" t="s">
        <v>76</v>
      </c>
      <c r="H87" s="13">
        <v>2007</v>
      </c>
      <c r="I87" s="13">
        <v>18</v>
      </c>
      <c r="J87" s="14">
        <v>2.6198341846466064</v>
      </c>
      <c r="K87" s="15">
        <v>650000000</v>
      </c>
      <c r="L87" s="15">
        <v>470000000</v>
      </c>
      <c r="M87" s="16">
        <v>90</v>
      </c>
      <c r="N87" s="13">
        <v>7</v>
      </c>
      <c r="O87" s="13">
        <v>7</v>
      </c>
      <c r="P87" s="15">
        <v>85800000</v>
      </c>
      <c r="Q87" s="15">
        <v>50000000</v>
      </c>
      <c r="R87" s="15">
        <v>70000000</v>
      </c>
      <c r="S87" s="16">
        <v>0</v>
      </c>
      <c r="T87" s="3" t="s">
        <v>60</v>
      </c>
      <c r="U87" s="3" t="s">
        <v>52</v>
      </c>
      <c r="V87" s="3" t="s">
        <v>52</v>
      </c>
      <c r="W87" s="16">
        <v>80</v>
      </c>
      <c r="X87" s="16">
        <v>0</v>
      </c>
      <c r="Y87" s="16">
        <v>0</v>
      </c>
      <c r="Z87" s="3" t="s">
        <v>53</v>
      </c>
      <c r="AA87" s="15"/>
      <c r="AB87" s="3" t="s">
        <v>53</v>
      </c>
      <c r="AC87" s="3" t="s">
        <v>53</v>
      </c>
      <c r="AD87" s="3" t="s">
        <v>52</v>
      </c>
      <c r="AE87" s="16">
        <v>4</v>
      </c>
      <c r="AF87" s="3" t="s">
        <v>61</v>
      </c>
      <c r="AG87" s="3" t="s">
        <v>55</v>
      </c>
      <c r="AH87" s="3" t="s">
        <v>54</v>
      </c>
      <c r="AI87" s="3" t="s">
        <v>54</v>
      </c>
      <c r="AJ87" s="3" t="s">
        <v>63</v>
      </c>
      <c r="AK87" s="3" t="s">
        <v>64</v>
      </c>
      <c r="AL87" s="13">
        <f t="shared" si="13"/>
        <v>17</v>
      </c>
      <c r="AM87" s="15">
        <f t="shared" si="14"/>
        <v>0</v>
      </c>
      <c r="AN87" s="3">
        <f t="shared" si="15"/>
        <v>4</v>
      </c>
      <c r="AO87" s="3" t="str">
        <f t="shared" si="16"/>
        <v>No</v>
      </c>
      <c r="AP87" s="17">
        <f t="shared" si="17"/>
        <v>0.38297872340425543</v>
      </c>
      <c r="AQ87" s="17">
        <f t="shared" si="18"/>
        <v>0.17600115790940252</v>
      </c>
      <c r="AR87" s="17">
        <f t="shared" si="19"/>
        <v>0</v>
      </c>
      <c r="AS87" s="15">
        <f t="shared" si="20"/>
        <v>92857142.857142851</v>
      </c>
      <c r="AT87" s="17">
        <f t="shared" si="21"/>
        <v>0.13200000000000001</v>
      </c>
      <c r="AU87" s="17">
        <f t="shared" si="22"/>
        <v>7.6923076923076927E-2</v>
      </c>
      <c r="AV87" s="15">
        <f t="shared" si="23"/>
        <v>10000000</v>
      </c>
      <c r="AW87" s="18">
        <f t="shared" si="24"/>
        <v>0</v>
      </c>
      <c r="AX87" s="27" t="str">
        <f>IF(OR(K87&lt;Outlier_Audit!$H$2,K87&gt;Outlier_Audit!$I$2),"Review","Normal")</f>
        <v>Normal</v>
      </c>
      <c r="AY87" t="str">
        <f t="shared" si="25"/>
        <v>10-19 years</v>
      </c>
      <c r="AZ87" t="str">
        <f>IF(AQ87="","Missing",IF(AQ87&gt;=EDA_Performance!$B$7,"High Growth",IF(AQ87&lt;=EDA_Performance!$B$5,"Low Growth","Middle")))</f>
        <v>Middle</v>
      </c>
    </row>
    <row r="88" spans="1:52">
      <c r="A88" s="12">
        <v>1614332</v>
      </c>
      <c r="B88" s="3" t="s">
        <v>65</v>
      </c>
      <c r="C88" s="3" t="s">
        <v>50</v>
      </c>
      <c r="D88" s="13">
        <v>51</v>
      </c>
      <c r="E88" s="13">
        <v>2720</v>
      </c>
      <c r="F88" s="13">
        <v>27</v>
      </c>
      <c r="G88" s="3" t="s">
        <v>95</v>
      </c>
      <c r="H88" s="13">
        <v>1967</v>
      </c>
      <c r="I88" s="13">
        <v>28</v>
      </c>
      <c r="J88" s="14">
        <v>1.5749640464782715</v>
      </c>
      <c r="K88" s="15">
        <v>500000000</v>
      </c>
      <c r="L88" s="15">
        <v>300000000</v>
      </c>
      <c r="M88" s="16">
        <v>95</v>
      </c>
      <c r="N88" s="13">
        <v>51</v>
      </c>
      <c r="O88" s="13">
        <v>15</v>
      </c>
      <c r="P88" s="15">
        <v>150000000</v>
      </c>
      <c r="Q88" s="15">
        <v>250000000</v>
      </c>
      <c r="R88" s="15">
        <v>700000000</v>
      </c>
      <c r="S88" s="16">
        <v>0</v>
      </c>
      <c r="T88" s="3" t="s">
        <v>52</v>
      </c>
      <c r="U88" s="3" t="s">
        <v>53</v>
      </c>
      <c r="V88" s="3" t="s">
        <v>53</v>
      </c>
      <c r="W88" s="16">
        <v>50</v>
      </c>
      <c r="X88" s="16">
        <v>0</v>
      </c>
      <c r="Y88" s="16">
        <v>35</v>
      </c>
      <c r="Z88" s="3" t="s">
        <v>53</v>
      </c>
      <c r="AA88" s="15"/>
      <c r="AB88" s="3" t="s">
        <v>53</v>
      </c>
      <c r="AC88" s="3" t="s">
        <v>53</v>
      </c>
      <c r="AD88" s="3" t="s">
        <v>52</v>
      </c>
      <c r="AE88" s="16">
        <v>2</v>
      </c>
      <c r="AF88" s="3" t="s">
        <v>67</v>
      </c>
      <c r="AG88" s="3" t="s">
        <v>67</v>
      </c>
      <c r="AH88" s="3" t="s">
        <v>67</v>
      </c>
      <c r="AI88" s="3" t="s">
        <v>62</v>
      </c>
      <c r="AJ88" s="3" t="s">
        <v>56</v>
      </c>
      <c r="AK88" s="3" t="s">
        <v>57</v>
      </c>
      <c r="AL88" s="13">
        <f t="shared" si="13"/>
        <v>57</v>
      </c>
      <c r="AM88" s="15">
        <f t="shared" si="14"/>
        <v>0</v>
      </c>
      <c r="AN88" s="3">
        <f t="shared" si="15"/>
        <v>2</v>
      </c>
      <c r="AO88" s="3" t="str">
        <f t="shared" si="16"/>
        <v>No</v>
      </c>
      <c r="AP88" s="17">
        <f t="shared" si="17"/>
        <v>0.66666666666666674</v>
      </c>
      <c r="AQ88" s="17">
        <f t="shared" si="18"/>
        <v>0.2909944487358056</v>
      </c>
      <c r="AR88" s="17">
        <f t="shared" si="19"/>
        <v>2.4</v>
      </c>
      <c r="AS88" s="15">
        <f t="shared" si="20"/>
        <v>9803921.5686274506</v>
      </c>
      <c r="AT88" s="17">
        <f t="shared" si="21"/>
        <v>0.3</v>
      </c>
      <c r="AU88" s="17">
        <f t="shared" si="22"/>
        <v>0.5</v>
      </c>
      <c r="AV88" s="15">
        <f t="shared" si="23"/>
        <v>13725490.196078431</v>
      </c>
      <c r="AW88" s="18">
        <f t="shared" si="24"/>
        <v>0</v>
      </c>
      <c r="AX88" s="27" t="str">
        <f>IF(OR(K88&lt;Outlier_Audit!$H$2,K88&gt;Outlier_Audit!$I$2),"Review","Normal")</f>
        <v>Normal</v>
      </c>
      <c r="AY88" t="str">
        <f t="shared" si="25"/>
        <v>30+ years</v>
      </c>
      <c r="AZ88" t="str">
        <f>IF(AQ88="","Missing",IF(AQ88&gt;=EDA_Performance!$B$7,"High Growth",IF(AQ88&lt;=EDA_Performance!$B$5,"Low Growth","Middle")))</f>
        <v>High Growth</v>
      </c>
    </row>
    <row r="89" spans="1:52">
      <c r="A89" s="12">
        <v>1614337</v>
      </c>
      <c r="B89" s="3" t="s">
        <v>65</v>
      </c>
      <c r="C89" s="3" t="s">
        <v>50</v>
      </c>
      <c r="D89" s="13">
        <v>1500</v>
      </c>
      <c r="E89" s="13">
        <v>1410</v>
      </c>
      <c r="F89" s="13">
        <v>14</v>
      </c>
      <c r="G89" s="3" t="s">
        <v>59</v>
      </c>
      <c r="H89" s="13">
        <v>2015</v>
      </c>
      <c r="I89" s="13">
        <v>8</v>
      </c>
      <c r="J89" s="14">
        <v>1.5749640464782715</v>
      </c>
      <c r="K89" s="15">
        <v>32000000000</v>
      </c>
      <c r="L89" s="15">
        <v>30000000000</v>
      </c>
      <c r="M89" s="16">
        <v>76</v>
      </c>
      <c r="N89" s="13">
        <v>1500</v>
      </c>
      <c r="O89" s="13">
        <v>1350</v>
      </c>
      <c r="P89" s="15">
        <v>300000000</v>
      </c>
      <c r="Q89" s="15">
        <v>21000000000</v>
      </c>
      <c r="R89" s="15">
        <v>55000000000</v>
      </c>
      <c r="S89" s="16">
        <v>30</v>
      </c>
      <c r="T89" s="3" t="s">
        <v>52</v>
      </c>
      <c r="U89" s="3" t="s">
        <v>52</v>
      </c>
      <c r="V89" s="3" t="s">
        <v>53</v>
      </c>
      <c r="W89" s="16">
        <v>40</v>
      </c>
      <c r="X89" s="16">
        <v>20</v>
      </c>
      <c r="Y89" s="16">
        <v>10</v>
      </c>
      <c r="Z89" s="3" t="s">
        <v>53</v>
      </c>
      <c r="AA89" s="15"/>
      <c r="AB89" s="3" t="s">
        <v>52</v>
      </c>
      <c r="AC89" s="3" t="s">
        <v>53</v>
      </c>
      <c r="AD89" s="3" t="s">
        <v>52</v>
      </c>
      <c r="AE89" s="16">
        <v>5</v>
      </c>
      <c r="AF89" s="3" t="s">
        <v>61</v>
      </c>
      <c r="AG89" s="3" t="s">
        <v>55</v>
      </c>
      <c r="AH89" s="3" t="s">
        <v>67</v>
      </c>
      <c r="AI89" s="3" t="s">
        <v>62</v>
      </c>
      <c r="AJ89" s="3" t="s">
        <v>63</v>
      </c>
      <c r="AK89" s="3" t="s">
        <v>57</v>
      </c>
      <c r="AL89" s="13">
        <f t="shared" si="13"/>
        <v>9</v>
      </c>
      <c r="AM89" s="15">
        <f t="shared" si="14"/>
        <v>0</v>
      </c>
      <c r="AN89" s="3">
        <f t="shared" si="15"/>
        <v>5</v>
      </c>
      <c r="AO89" s="3" t="str">
        <f t="shared" si="16"/>
        <v>Yes</v>
      </c>
      <c r="AP89" s="17">
        <f t="shared" si="17"/>
        <v>6.6666666666666652E-2</v>
      </c>
      <c r="AQ89" s="17">
        <f t="shared" si="18"/>
        <v>3.2795558988644391E-2</v>
      </c>
      <c r="AR89" s="17">
        <f t="shared" si="19"/>
        <v>0.11111111111111116</v>
      </c>
      <c r="AS89" s="15">
        <f t="shared" si="20"/>
        <v>21333333.333333332</v>
      </c>
      <c r="AT89" s="17">
        <f t="shared" si="21"/>
        <v>9.3749999999999997E-3</v>
      </c>
      <c r="AU89" s="17">
        <f t="shared" si="22"/>
        <v>0.65625</v>
      </c>
      <c r="AV89" s="15">
        <f t="shared" si="23"/>
        <v>36666666.666666664</v>
      </c>
      <c r="AW89" s="18">
        <f t="shared" si="24"/>
        <v>0</v>
      </c>
      <c r="AX89" s="27" t="str">
        <f>IF(OR(K89&lt;Outlier_Audit!$H$2,K89&gt;Outlier_Audit!$I$2),"Review","Normal")</f>
        <v>Review</v>
      </c>
      <c r="AY89" t="str">
        <f t="shared" si="25"/>
        <v>&lt;10 years</v>
      </c>
      <c r="AZ89" t="str">
        <f>IF(AQ89="","Missing",IF(AQ89&gt;=EDA_Performance!$B$7,"High Growth",IF(AQ89&lt;=EDA_Performance!$B$5,"Low Growth","Middle")))</f>
        <v>Low Growth</v>
      </c>
    </row>
    <row r="90" spans="1:52">
      <c r="A90" s="12">
        <v>1614340</v>
      </c>
      <c r="B90" s="3" t="s">
        <v>49</v>
      </c>
      <c r="C90" s="3" t="s">
        <v>66</v>
      </c>
      <c r="D90" s="13">
        <v>40</v>
      </c>
      <c r="E90" s="13">
        <v>1079</v>
      </c>
      <c r="F90" s="13">
        <v>10</v>
      </c>
      <c r="G90" s="3" t="s">
        <v>51</v>
      </c>
      <c r="H90" s="13">
        <v>1988</v>
      </c>
      <c r="I90" s="13">
        <v>39</v>
      </c>
      <c r="J90" s="14">
        <v>1.6103764772415161</v>
      </c>
      <c r="K90" s="15">
        <v>120000000</v>
      </c>
      <c r="L90" s="15">
        <v>90000000</v>
      </c>
      <c r="M90" s="16">
        <v>60</v>
      </c>
      <c r="N90" s="13">
        <v>30</v>
      </c>
      <c r="O90" s="13">
        <v>25</v>
      </c>
      <c r="P90" s="15">
        <v>36000000</v>
      </c>
      <c r="Q90" s="15">
        <v>31000000</v>
      </c>
      <c r="R90" s="15">
        <v>200000000</v>
      </c>
      <c r="S90" s="16">
        <v>0</v>
      </c>
      <c r="T90" s="3" t="s">
        <v>52</v>
      </c>
      <c r="U90" s="3" t="s">
        <v>53</v>
      </c>
      <c r="V90" s="3" t="s">
        <v>53</v>
      </c>
      <c r="W90" s="16">
        <v>80</v>
      </c>
      <c r="X90" s="16">
        <v>20</v>
      </c>
      <c r="Y90" s="16">
        <v>0</v>
      </c>
      <c r="Z90" s="3" t="s">
        <v>52</v>
      </c>
      <c r="AA90" s="15">
        <v>20000000</v>
      </c>
      <c r="AB90" s="3" t="s">
        <v>52</v>
      </c>
      <c r="AC90" s="3" t="s">
        <v>53</v>
      </c>
      <c r="AD90" s="3" t="s">
        <v>52</v>
      </c>
      <c r="AE90" s="16">
        <v>4</v>
      </c>
      <c r="AF90" s="3" t="s">
        <v>61</v>
      </c>
      <c r="AG90" s="3" t="s">
        <v>55</v>
      </c>
      <c r="AH90" s="3" t="s">
        <v>67</v>
      </c>
      <c r="AI90" s="3" t="s">
        <v>55</v>
      </c>
      <c r="AJ90" s="3" t="s">
        <v>79</v>
      </c>
      <c r="AK90" s="3" t="s">
        <v>64</v>
      </c>
      <c r="AL90" s="13">
        <f t="shared" si="13"/>
        <v>36</v>
      </c>
      <c r="AM90" s="15">
        <f t="shared" si="14"/>
        <v>20000000</v>
      </c>
      <c r="AN90" s="3">
        <f t="shared" si="15"/>
        <v>4</v>
      </c>
      <c r="AO90" s="3" t="str">
        <f t="shared" si="16"/>
        <v>No</v>
      </c>
      <c r="AP90" s="17">
        <f t="shared" si="17"/>
        <v>0.33333333333333326</v>
      </c>
      <c r="AQ90" s="17">
        <f t="shared" si="18"/>
        <v>0.15470053837925146</v>
      </c>
      <c r="AR90" s="17">
        <f t="shared" si="19"/>
        <v>0.19999999999999996</v>
      </c>
      <c r="AS90" s="15">
        <f t="shared" si="20"/>
        <v>4000000</v>
      </c>
      <c r="AT90" s="17">
        <f t="shared" si="21"/>
        <v>0.3</v>
      </c>
      <c r="AU90" s="17">
        <f t="shared" si="22"/>
        <v>0.25833333333333336</v>
      </c>
      <c r="AV90" s="15">
        <f t="shared" si="23"/>
        <v>6666666.666666667</v>
      </c>
      <c r="AW90" s="18">
        <f t="shared" si="24"/>
        <v>0.16666666666666666</v>
      </c>
      <c r="AX90" s="27" t="str">
        <f>IF(OR(K90&lt;Outlier_Audit!$H$2,K90&gt;Outlier_Audit!$I$2),"Review","Normal")</f>
        <v>Normal</v>
      </c>
      <c r="AY90" t="str">
        <f t="shared" si="25"/>
        <v>30+ years</v>
      </c>
      <c r="AZ90" t="str">
        <f>IF(AQ90="","Missing",IF(AQ90&gt;=EDA_Performance!$B$7,"High Growth",IF(AQ90&lt;=EDA_Performance!$B$5,"Low Growth","Middle")))</f>
        <v>Middle</v>
      </c>
    </row>
    <row r="91" spans="1:52">
      <c r="A91" s="12">
        <v>1614341</v>
      </c>
      <c r="B91" s="3" t="s">
        <v>65</v>
      </c>
      <c r="C91" s="3" t="s">
        <v>50</v>
      </c>
      <c r="D91" s="13">
        <v>43</v>
      </c>
      <c r="E91" s="13">
        <v>2220</v>
      </c>
      <c r="F91" s="13">
        <v>22</v>
      </c>
      <c r="G91" s="3" t="s">
        <v>96</v>
      </c>
      <c r="H91" s="13">
        <v>1997</v>
      </c>
      <c r="I91" s="13">
        <v>27</v>
      </c>
      <c r="J91" s="14">
        <v>1.5749640464782715</v>
      </c>
      <c r="K91" s="15">
        <v>650000000</v>
      </c>
      <c r="L91" s="15">
        <v>450000000</v>
      </c>
      <c r="M91" s="16">
        <v>95</v>
      </c>
      <c r="N91" s="13">
        <v>35</v>
      </c>
      <c r="O91" s="13">
        <v>20</v>
      </c>
      <c r="P91" s="15">
        <v>25000000</v>
      </c>
      <c r="Q91" s="15">
        <v>300000000</v>
      </c>
      <c r="R91" s="15">
        <v>180000000</v>
      </c>
      <c r="S91" s="16">
        <v>20</v>
      </c>
      <c r="T91" s="3" t="s">
        <v>52</v>
      </c>
      <c r="U91" s="3" t="s">
        <v>53</v>
      </c>
      <c r="V91" s="3" t="s">
        <v>52</v>
      </c>
      <c r="W91" s="16">
        <v>60</v>
      </c>
      <c r="X91" s="16">
        <v>40</v>
      </c>
      <c r="Y91" s="16">
        <v>0</v>
      </c>
      <c r="Z91" s="3" t="s">
        <v>52</v>
      </c>
      <c r="AA91" s="15">
        <v>180000000</v>
      </c>
      <c r="AB91" s="3" t="s">
        <v>52</v>
      </c>
      <c r="AC91" s="3" t="s">
        <v>53</v>
      </c>
      <c r="AD91" s="3" t="s">
        <v>52</v>
      </c>
      <c r="AE91" s="16">
        <v>9</v>
      </c>
      <c r="AF91" s="3" t="s">
        <v>62</v>
      </c>
      <c r="AG91" s="3" t="s">
        <v>62</v>
      </c>
      <c r="AH91" s="3" t="s">
        <v>62</v>
      </c>
      <c r="AI91" s="3" t="s">
        <v>54</v>
      </c>
      <c r="AJ91" s="3" t="s">
        <v>87</v>
      </c>
      <c r="AK91" s="3" t="s">
        <v>64</v>
      </c>
      <c r="AL91" s="13">
        <f t="shared" si="13"/>
        <v>27</v>
      </c>
      <c r="AM91" s="15">
        <f t="shared" si="14"/>
        <v>180000000</v>
      </c>
      <c r="AN91" s="3">
        <f t="shared" si="15"/>
        <v>9</v>
      </c>
      <c r="AO91" s="3" t="str">
        <f t="shared" si="16"/>
        <v>Yes</v>
      </c>
      <c r="AP91" s="17">
        <f t="shared" si="17"/>
        <v>0.44444444444444442</v>
      </c>
      <c r="AQ91" s="17">
        <f t="shared" si="18"/>
        <v>0.20185042515466312</v>
      </c>
      <c r="AR91" s="17">
        <f t="shared" si="19"/>
        <v>0.75</v>
      </c>
      <c r="AS91" s="15">
        <f t="shared" si="20"/>
        <v>18571428.571428571</v>
      </c>
      <c r="AT91" s="17">
        <f t="shared" si="21"/>
        <v>3.8461538461538464E-2</v>
      </c>
      <c r="AU91" s="17">
        <f t="shared" si="22"/>
        <v>0.46153846153846156</v>
      </c>
      <c r="AV91" s="15">
        <f t="shared" si="23"/>
        <v>5142857.1428571427</v>
      </c>
      <c r="AW91" s="18">
        <f t="shared" si="24"/>
        <v>0.27692307692307694</v>
      </c>
      <c r="AX91" s="27" t="str">
        <f>IF(OR(K91&lt;Outlier_Audit!$H$2,K91&gt;Outlier_Audit!$I$2),"Review","Normal")</f>
        <v>Normal</v>
      </c>
      <c r="AY91" t="str">
        <f t="shared" si="25"/>
        <v>20-29 years</v>
      </c>
      <c r="AZ91" t="str">
        <f>IF(AQ91="","Missing",IF(AQ91&gt;=EDA_Performance!$B$7,"High Growth",IF(AQ91&lt;=EDA_Performance!$B$5,"Low Growth","Middle")))</f>
        <v>Middle</v>
      </c>
    </row>
    <row r="92" spans="1:52">
      <c r="A92" s="12">
        <v>1614342</v>
      </c>
      <c r="B92" s="3" t="s">
        <v>74</v>
      </c>
      <c r="C92" s="3" t="s">
        <v>66</v>
      </c>
      <c r="D92" s="13">
        <v>150</v>
      </c>
      <c r="E92" s="13">
        <v>1030</v>
      </c>
      <c r="F92" s="13">
        <v>10</v>
      </c>
      <c r="G92" s="3" t="s">
        <v>51</v>
      </c>
      <c r="H92" s="13">
        <v>2008</v>
      </c>
      <c r="I92" s="13">
        <v>17</v>
      </c>
      <c r="J92" s="14">
        <v>2.6198341846466064</v>
      </c>
      <c r="K92" s="15">
        <v>36000000000</v>
      </c>
      <c r="L92" s="15">
        <v>35000000000</v>
      </c>
      <c r="M92" s="16">
        <v>80</v>
      </c>
      <c r="N92" s="13">
        <v>45</v>
      </c>
      <c r="O92" s="13">
        <v>45</v>
      </c>
      <c r="P92" s="15">
        <v>900000000</v>
      </c>
      <c r="Q92" s="15"/>
      <c r="R92" s="15"/>
      <c r="S92" s="16">
        <v>0</v>
      </c>
      <c r="T92" s="3" t="s">
        <v>52</v>
      </c>
      <c r="U92" s="3" t="s">
        <v>52</v>
      </c>
      <c r="V92" s="3" t="s">
        <v>53</v>
      </c>
      <c r="W92" s="16"/>
      <c r="X92" s="16"/>
      <c r="Y92" s="16"/>
      <c r="Z92" s="3" t="s">
        <v>53</v>
      </c>
      <c r="AA92" s="15"/>
      <c r="AB92" s="3" t="s">
        <v>52</v>
      </c>
      <c r="AC92" s="3" t="s">
        <v>53</v>
      </c>
      <c r="AD92" s="3" t="s">
        <v>52</v>
      </c>
      <c r="AE92" s="16"/>
      <c r="AF92" s="3" t="s">
        <v>62</v>
      </c>
      <c r="AG92" s="3"/>
      <c r="AH92" s="3" t="s">
        <v>67</v>
      </c>
      <c r="AI92" s="3"/>
      <c r="AJ92" s="3" t="s">
        <v>63</v>
      </c>
      <c r="AK92" s="3" t="s">
        <v>57</v>
      </c>
      <c r="AL92" s="13">
        <f t="shared" si="13"/>
        <v>16</v>
      </c>
      <c r="AM92" s="15">
        <f t="shared" si="14"/>
        <v>0</v>
      </c>
      <c r="AN92" s="3">
        <f t="shared" si="15"/>
        <v>0</v>
      </c>
      <c r="AO92" s="3" t="str">
        <f t="shared" si="16"/>
        <v>No</v>
      </c>
      <c r="AP92" s="17">
        <f t="shared" si="17"/>
        <v>2.857142857142847E-2</v>
      </c>
      <c r="AQ92" s="17">
        <f t="shared" si="18"/>
        <v>1.4185105674219933E-2</v>
      </c>
      <c r="AR92" s="17">
        <f t="shared" si="19"/>
        <v>0</v>
      </c>
      <c r="AS92" s="15">
        <f t="shared" si="20"/>
        <v>800000000</v>
      </c>
      <c r="AT92" s="17">
        <f t="shared" si="21"/>
        <v>2.5000000000000001E-2</v>
      </c>
      <c r="AU92" s="17" t="str">
        <f t="shared" si="22"/>
        <v/>
      </c>
      <c r="AV92" s="15" t="str">
        <f t="shared" si="23"/>
        <v/>
      </c>
      <c r="AW92" s="18">
        <f t="shared" si="24"/>
        <v>0</v>
      </c>
      <c r="AX92" s="27" t="str">
        <f>IF(OR(K92&lt;Outlier_Audit!$H$2,K92&gt;Outlier_Audit!$I$2),"Review","Normal")</f>
        <v>Review</v>
      </c>
      <c r="AY92" t="str">
        <f t="shared" si="25"/>
        <v>10-19 years</v>
      </c>
      <c r="AZ92" t="str">
        <f>IF(AQ92="","Missing",IF(AQ92&gt;=EDA_Performance!$B$7,"High Growth",IF(AQ92&lt;=EDA_Performance!$B$5,"Low Growth","Middle")))</f>
        <v>Low Growth</v>
      </c>
    </row>
    <row r="93" spans="1:52">
      <c r="A93" s="12">
        <v>1614344</v>
      </c>
      <c r="B93" s="3" t="s">
        <v>65</v>
      </c>
      <c r="C93" s="3" t="s">
        <v>66</v>
      </c>
      <c r="D93" s="13">
        <v>15</v>
      </c>
      <c r="E93" s="13">
        <v>1080</v>
      </c>
      <c r="F93" s="13">
        <v>10</v>
      </c>
      <c r="G93" s="3" t="s">
        <v>51</v>
      </c>
      <c r="H93" s="13">
        <v>2013</v>
      </c>
      <c r="I93" s="13">
        <v>20</v>
      </c>
      <c r="J93" s="14">
        <v>23.458492279052734</v>
      </c>
      <c r="K93" s="15">
        <v>80000000</v>
      </c>
      <c r="L93" s="15">
        <v>65000000</v>
      </c>
      <c r="M93" s="16">
        <v>75</v>
      </c>
      <c r="N93" s="13">
        <v>15</v>
      </c>
      <c r="O93" s="13">
        <v>5</v>
      </c>
      <c r="P93" s="15">
        <v>25000000</v>
      </c>
      <c r="Q93" s="15">
        <v>40000000</v>
      </c>
      <c r="R93" s="15">
        <v>200000000</v>
      </c>
      <c r="S93" s="16">
        <v>0</v>
      </c>
      <c r="T93" s="3" t="s">
        <v>60</v>
      </c>
      <c r="U93" s="3" t="s">
        <v>53</v>
      </c>
      <c r="V93" s="3" t="s">
        <v>53</v>
      </c>
      <c r="W93" s="16">
        <v>70</v>
      </c>
      <c r="X93" s="16">
        <v>0</v>
      </c>
      <c r="Y93" s="16">
        <v>30</v>
      </c>
      <c r="Z93" s="3" t="s">
        <v>53</v>
      </c>
      <c r="AA93" s="15"/>
      <c r="AB93" s="3" t="s">
        <v>53</v>
      </c>
      <c r="AC93" s="3" t="s">
        <v>53</v>
      </c>
      <c r="AD93" s="3" t="s">
        <v>52</v>
      </c>
      <c r="AE93" s="16">
        <v>3</v>
      </c>
      <c r="AF93" s="3" t="s">
        <v>67</v>
      </c>
      <c r="AG93" s="3" t="s">
        <v>62</v>
      </c>
      <c r="AH93" s="3" t="s">
        <v>62</v>
      </c>
      <c r="AI93" s="3" t="s">
        <v>67</v>
      </c>
      <c r="AJ93" s="3" t="s">
        <v>56</v>
      </c>
      <c r="AK93" s="3" t="s">
        <v>57</v>
      </c>
      <c r="AL93" s="13">
        <f t="shared" si="13"/>
        <v>11</v>
      </c>
      <c r="AM93" s="15">
        <f t="shared" si="14"/>
        <v>0</v>
      </c>
      <c r="AN93" s="3">
        <f t="shared" si="15"/>
        <v>3</v>
      </c>
      <c r="AO93" s="3" t="str">
        <f t="shared" si="16"/>
        <v>No</v>
      </c>
      <c r="AP93" s="17">
        <f t="shared" si="17"/>
        <v>0.23076923076923084</v>
      </c>
      <c r="AQ93" s="17">
        <f t="shared" si="18"/>
        <v>0.10940039245045829</v>
      </c>
      <c r="AR93" s="17">
        <f t="shared" si="19"/>
        <v>2</v>
      </c>
      <c r="AS93" s="15">
        <f t="shared" si="20"/>
        <v>5333333.333333333</v>
      </c>
      <c r="AT93" s="17">
        <f t="shared" si="21"/>
        <v>0.3125</v>
      </c>
      <c r="AU93" s="17">
        <f t="shared" si="22"/>
        <v>0.5</v>
      </c>
      <c r="AV93" s="15">
        <f t="shared" si="23"/>
        <v>13333333.333333334</v>
      </c>
      <c r="AW93" s="18">
        <f t="shared" si="24"/>
        <v>0</v>
      </c>
      <c r="AX93" s="27" t="str">
        <f>IF(OR(K93&lt;Outlier_Audit!$H$2,K93&gt;Outlier_Audit!$I$2),"Review","Normal")</f>
        <v>Normal</v>
      </c>
      <c r="AY93" t="str">
        <f t="shared" si="25"/>
        <v>10-19 years</v>
      </c>
      <c r="AZ93" t="str">
        <f>IF(AQ93="","Missing",IF(AQ93&gt;=EDA_Performance!$B$7,"High Growth",IF(AQ93&lt;=EDA_Performance!$B$5,"Low Growth","Middle")))</f>
        <v>Middle</v>
      </c>
    </row>
    <row r="94" spans="1:52">
      <c r="A94" s="12">
        <v>1614346</v>
      </c>
      <c r="B94" s="3" t="s">
        <v>74</v>
      </c>
      <c r="C94" s="3" t="s">
        <v>50</v>
      </c>
      <c r="D94" s="13">
        <v>520</v>
      </c>
      <c r="E94" s="13">
        <v>1079</v>
      </c>
      <c r="F94" s="13">
        <v>10</v>
      </c>
      <c r="G94" s="3" t="s">
        <v>51</v>
      </c>
      <c r="H94" s="13">
        <v>1969</v>
      </c>
      <c r="I94" s="13">
        <v>15</v>
      </c>
      <c r="J94" s="14">
        <v>1.3089461326599121</v>
      </c>
      <c r="K94" s="15">
        <v>9400000000</v>
      </c>
      <c r="L94" s="15">
        <v>21000000000</v>
      </c>
      <c r="M94" s="16">
        <v>100</v>
      </c>
      <c r="N94" s="13">
        <v>266</v>
      </c>
      <c r="O94" s="13">
        <v>316</v>
      </c>
      <c r="P94" s="15">
        <v>750000000</v>
      </c>
      <c r="Q94" s="15">
        <v>2600000000</v>
      </c>
      <c r="R94" s="15">
        <v>15000000000</v>
      </c>
      <c r="S94" s="16">
        <v>90</v>
      </c>
      <c r="T94" s="3" t="s">
        <v>52</v>
      </c>
      <c r="U94" s="3" t="s">
        <v>53</v>
      </c>
      <c r="V94" s="3" t="s">
        <v>53</v>
      </c>
      <c r="W94" s="16">
        <v>70</v>
      </c>
      <c r="X94" s="16">
        <v>0</v>
      </c>
      <c r="Y94" s="16">
        <v>30</v>
      </c>
      <c r="Z94" s="3" t="s">
        <v>53</v>
      </c>
      <c r="AA94" s="15"/>
      <c r="AB94" s="3" t="s">
        <v>52</v>
      </c>
      <c r="AC94" s="3" t="s">
        <v>53</v>
      </c>
      <c r="AD94" s="3" t="s">
        <v>52</v>
      </c>
      <c r="AE94" s="16">
        <v>8</v>
      </c>
      <c r="AF94" s="3" t="s">
        <v>61</v>
      </c>
      <c r="AG94" s="3" t="s">
        <v>55</v>
      </c>
      <c r="AH94" s="3" t="s">
        <v>67</v>
      </c>
      <c r="AI94" s="3"/>
      <c r="AJ94" s="3" t="s">
        <v>63</v>
      </c>
      <c r="AK94" s="3" t="s">
        <v>64</v>
      </c>
      <c r="AL94" s="13">
        <f t="shared" si="13"/>
        <v>55</v>
      </c>
      <c r="AM94" s="15">
        <f t="shared" si="14"/>
        <v>0</v>
      </c>
      <c r="AN94" s="3">
        <f t="shared" si="15"/>
        <v>8</v>
      </c>
      <c r="AO94" s="3" t="str">
        <f t="shared" si="16"/>
        <v>Yes</v>
      </c>
      <c r="AP94" s="17">
        <f t="shared" si="17"/>
        <v>-0.55238095238095242</v>
      </c>
      <c r="AQ94" s="17">
        <f t="shared" si="18"/>
        <v>-0.33095661753586736</v>
      </c>
      <c r="AR94" s="17">
        <f t="shared" si="19"/>
        <v>-0.15822784810126578</v>
      </c>
      <c r="AS94" s="15">
        <f t="shared" si="20"/>
        <v>35338345.864661656</v>
      </c>
      <c r="AT94" s="17">
        <f t="shared" si="21"/>
        <v>7.9787234042553196E-2</v>
      </c>
      <c r="AU94" s="17">
        <f t="shared" si="22"/>
        <v>0.27659574468085107</v>
      </c>
      <c r="AV94" s="15">
        <f t="shared" si="23"/>
        <v>56390977.443609022</v>
      </c>
      <c r="AW94" s="18">
        <f t="shared" si="24"/>
        <v>0</v>
      </c>
      <c r="AX94" s="27" t="str">
        <f>IF(OR(K94&lt;Outlier_Audit!$H$2,K94&gt;Outlier_Audit!$I$2),"Review","Normal")</f>
        <v>Review</v>
      </c>
      <c r="AY94" t="str">
        <f t="shared" si="25"/>
        <v>30+ years</v>
      </c>
      <c r="AZ94" t="str">
        <f>IF(AQ94="","Missing",IF(AQ94&gt;=EDA_Performance!$B$7,"High Growth",IF(AQ94&lt;=EDA_Performance!$B$5,"Low Growth","Middle")))</f>
        <v>Low Growth</v>
      </c>
    </row>
    <row r="95" spans="1:52">
      <c r="A95" s="12">
        <v>1614348</v>
      </c>
      <c r="B95" s="3" t="s">
        <v>74</v>
      </c>
      <c r="C95" s="3" t="s">
        <v>50</v>
      </c>
      <c r="D95" s="13">
        <v>300</v>
      </c>
      <c r="E95" s="13">
        <v>1050</v>
      </c>
      <c r="F95" s="13">
        <v>10</v>
      </c>
      <c r="G95" s="3" t="s">
        <v>51</v>
      </c>
      <c r="H95" s="13">
        <v>2014</v>
      </c>
      <c r="I95" s="13">
        <v>26</v>
      </c>
      <c r="J95" s="14">
        <v>1.2616859674453735</v>
      </c>
      <c r="K95" s="15">
        <v>82800000000</v>
      </c>
      <c r="L95" s="15"/>
      <c r="M95" s="16">
        <v>25</v>
      </c>
      <c r="N95" s="13">
        <v>20</v>
      </c>
      <c r="O95" s="13">
        <v>20</v>
      </c>
      <c r="P95" s="15"/>
      <c r="Q95" s="15">
        <v>46800000000</v>
      </c>
      <c r="R95" s="15">
        <v>50000000000</v>
      </c>
      <c r="S95" s="16">
        <v>20</v>
      </c>
      <c r="T95" s="3" t="s">
        <v>52</v>
      </c>
      <c r="U95" s="3" t="s">
        <v>53</v>
      </c>
      <c r="V95" s="3" t="s">
        <v>52</v>
      </c>
      <c r="W95" s="16">
        <v>100</v>
      </c>
      <c r="X95" s="16">
        <v>0</v>
      </c>
      <c r="Y95" s="16">
        <v>0</v>
      </c>
      <c r="Z95" s="3" t="s">
        <v>52</v>
      </c>
      <c r="AA95" s="15">
        <v>0</v>
      </c>
      <c r="AB95" s="3" t="s">
        <v>53</v>
      </c>
      <c r="AC95" s="3" t="s">
        <v>53</v>
      </c>
      <c r="AD95" s="3" t="s">
        <v>52</v>
      </c>
      <c r="AE95" s="16">
        <v>4</v>
      </c>
      <c r="AF95" s="3" t="s">
        <v>67</v>
      </c>
      <c r="AG95" s="3" t="s">
        <v>67</v>
      </c>
      <c r="AH95" s="3" t="s">
        <v>54</v>
      </c>
      <c r="AI95" s="3"/>
      <c r="AJ95" s="3" t="s">
        <v>56</v>
      </c>
      <c r="AK95" s="3" t="s">
        <v>75</v>
      </c>
      <c r="AL95" s="13">
        <f t="shared" si="13"/>
        <v>10</v>
      </c>
      <c r="AM95" s="15">
        <f t="shared" si="14"/>
        <v>0</v>
      </c>
      <c r="AN95" s="3">
        <f t="shared" si="15"/>
        <v>4</v>
      </c>
      <c r="AO95" s="3" t="str">
        <f t="shared" si="16"/>
        <v>Yes</v>
      </c>
      <c r="AP95" s="17" t="str">
        <f t="shared" si="17"/>
        <v/>
      </c>
      <c r="AQ95" s="17" t="str">
        <f t="shared" si="18"/>
        <v/>
      </c>
      <c r="AR95" s="17">
        <f t="shared" si="19"/>
        <v>0</v>
      </c>
      <c r="AS95" s="15">
        <f t="shared" si="20"/>
        <v>4140000000</v>
      </c>
      <c r="AT95" s="17" t="str">
        <f t="shared" si="21"/>
        <v/>
      </c>
      <c r="AU95" s="17">
        <f t="shared" si="22"/>
        <v>0.56521739130434778</v>
      </c>
      <c r="AV95" s="15">
        <f t="shared" si="23"/>
        <v>2500000000</v>
      </c>
      <c r="AW95" s="18">
        <f t="shared" si="24"/>
        <v>0</v>
      </c>
      <c r="AX95" s="27" t="str">
        <f>IF(OR(K95&lt;Outlier_Audit!$H$2,K95&gt;Outlier_Audit!$I$2),"Review","Normal")</f>
        <v>Review</v>
      </c>
      <c r="AY95" t="str">
        <f t="shared" si="25"/>
        <v>10-19 years</v>
      </c>
      <c r="AZ95" t="str">
        <f>IF(AQ95="","Missing",IF(AQ95&gt;=EDA_Performance!$B$7,"High Growth",IF(AQ95&lt;=EDA_Performance!$B$5,"Low Growth","Middle")))</f>
        <v>Missing</v>
      </c>
    </row>
    <row r="96" spans="1:52">
      <c r="A96" s="12">
        <v>1614349</v>
      </c>
      <c r="B96" s="3" t="s">
        <v>49</v>
      </c>
      <c r="C96" s="3" t="s">
        <v>58</v>
      </c>
      <c r="D96" s="13">
        <v>15</v>
      </c>
      <c r="E96" s="13">
        <v>1629</v>
      </c>
      <c r="F96" s="13">
        <v>16</v>
      </c>
      <c r="G96" s="3" t="s">
        <v>88</v>
      </c>
      <c r="H96" s="13">
        <v>2017</v>
      </c>
      <c r="I96" s="13">
        <v>17</v>
      </c>
      <c r="J96" s="14">
        <v>68.513816833496094</v>
      </c>
      <c r="K96" s="15">
        <v>6000000</v>
      </c>
      <c r="L96" s="15">
        <v>2000000</v>
      </c>
      <c r="M96" s="16">
        <v>40</v>
      </c>
      <c r="N96" s="13">
        <v>15</v>
      </c>
      <c r="O96" s="13">
        <v>9</v>
      </c>
      <c r="P96" s="15">
        <v>3000000</v>
      </c>
      <c r="Q96" s="15">
        <v>4000000</v>
      </c>
      <c r="R96" s="15">
        <v>28000000</v>
      </c>
      <c r="S96" s="16">
        <v>0</v>
      </c>
      <c r="T96" s="3" t="s">
        <v>60</v>
      </c>
      <c r="U96" s="3" t="s">
        <v>53</v>
      </c>
      <c r="V96" s="3" t="s">
        <v>52</v>
      </c>
      <c r="W96" s="16">
        <v>100</v>
      </c>
      <c r="X96" s="16">
        <v>0</v>
      </c>
      <c r="Y96" s="16">
        <v>0</v>
      </c>
      <c r="Z96" s="3" t="s">
        <v>53</v>
      </c>
      <c r="AA96" s="15"/>
      <c r="AB96" s="3" t="s">
        <v>53</v>
      </c>
      <c r="AC96" s="3" t="s">
        <v>53</v>
      </c>
      <c r="AD96" s="3" t="s">
        <v>52</v>
      </c>
      <c r="AE96" s="16">
        <v>10</v>
      </c>
      <c r="AF96" s="3" t="s">
        <v>55</v>
      </c>
      <c r="AG96" s="3" t="s">
        <v>54</v>
      </c>
      <c r="AH96" s="3" t="s">
        <v>62</v>
      </c>
      <c r="AI96" s="3" t="s">
        <v>61</v>
      </c>
      <c r="AJ96" s="3" t="s">
        <v>63</v>
      </c>
      <c r="AK96" s="3" t="s">
        <v>57</v>
      </c>
      <c r="AL96" s="13">
        <f t="shared" si="13"/>
        <v>7</v>
      </c>
      <c r="AM96" s="15">
        <f t="shared" si="14"/>
        <v>0</v>
      </c>
      <c r="AN96" s="3">
        <f t="shared" si="15"/>
        <v>10</v>
      </c>
      <c r="AO96" s="3" t="str">
        <f t="shared" si="16"/>
        <v>No</v>
      </c>
      <c r="AP96" s="17">
        <f t="shared" si="17"/>
        <v>2</v>
      </c>
      <c r="AQ96" s="17">
        <f t="shared" si="18"/>
        <v>0.73205080756887719</v>
      </c>
      <c r="AR96" s="17">
        <f t="shared" si="19"/>
        <v>0.66666666666666674</v>
      </c>
      <c r="AS96" s="15">
        <f t="shared" si="20"/>
        <v>400000</v>
      </c>
      <c r="AT96" s="17">
        <f t="shared" si="21"/>
        <v>0.5</v>
      </c>
      <c r="AU96" s="17">
        <f t="shared" si="22"/>
        <v>0.66666666666666663</v>
      </c>
      <c r="AV96" s="15">
        <f t="shared" si="23"/>
        <v>1866666.6666666667</v>
      </c>
      <c r="AW96" s="18">
        <f t="shared" si="24"/>
        <v>0</v>
      </c>
      <c r="AX96" s="27" t="str">
        <f>IF(OR(K96&lt;Outlier_Audit!$H$2,K96&gt;Outlier_Audit!$I$2),"Review","Normal")</f>
        <v>Normal</v>
      </c>
      <c r="AY96" t="str">
        <f t="shared" si="25"/>
        <v>&lt;10 years</v>
      </c>
      <c r="AZ96" t="str">
        <f>IF(AQ96="","Missing",IF(AQ96&gt;=EDA_Performance!$B$7,"High Growth",IF(AQ96&lt;=EDA_Performance!$B$5,"Low Growth","Middle")))</f>
        <v>High Growth</v>
      </c>
    </row>
    <row r="97" spans="1:52">
      <c r="A97" s="12">
        <v>1614352</v>
      </c>
      <c r="B97" s="3" t="s">
        <v>74</v>
      </c>
      <c r="C97" s="3" t="s">
        <v>66</v>
      </c>
      <c r="D97" s="13">
        <v>7</v>
      </c>
      <c r="E97" s="13">
        <v>2511</v>
      </c>
      <c r="F97" s="13">
        <v>25</v>
      </c>
      <c r="G97" s="3" t="s">
        <v>76</v>
      </c>
      <c r="H97" s="13">
        <v>2013</v>
      </c>
      <c r="I97" s="13">
        <v>12</v>
      </c>
      <c r="J97" s="14">
        <v>2.6198341846466064</v>
      </c>
      <c r="K97" s="15">
        <v>575000000</v>
      </c>
      <c r="L97" s="15">
        <v>300000000</v>
      </c>
      <c r="M97" s="16">
        <v>90</v>
      </c>
      <c r="N97" s="13">
        <v>9</v>
      </c>
      <c r="O97" s="13">
        <v>9</v>
      </c>
      <c r="P97" s="15">
        <v>42000000</v>
      </c>
      <c r="Q97" s="15">
        <v>45000000</v>
      </c>
      <c r="R97" s="15">
        <v>30000000</v>
      </c>
      <c r="S97" s="16">
        <v>0</v>
      </c>
      <c r="T97" s="3" t="s">
        <v>60</v>
      </c>
      <c r="U97" s="3" t="s">
        <v>52</v>
      </c>
      <c r="V97" s="3" t="s">
        <v>53</v>
      </c>
      <c r="W97" s="16">
        <v>70</v>
      </c>
      <c r="X97" s="16">
        <v>0</v>
      </c>
      <c r="Y97" s="16">
        <v>0</v>
      </c>
      <c r="Z97" s="3" t="s">
        <v>53</v>
      </c>
      <c r="AA97" s="15"/>
      <c r="AB97" s="3" t="s">
        <v>53</v>
      </c>
      <c r="AC97" s="3" t="s">
        <v>53</v>
      </c>
      <c r="AD97" s="3" t="s">
        <v>52</v>
      </c>
      <c r="AE97" s="16">
        <v>3</v>
      </c>
      <c r="AF97" s="3" t="s">
        <v>61</v>
      </c>
      <c r="AG97" s="3" t="s">
        <v>61</v>
      </c>
      <c r="AH97" s="3" t="s">
        <v>54</v>
      </c>
      <c r="AI97" s="3" t="s">
        <v>55</v>
      </c>
      <c r="AJ97" s="3" t="s">
        <v>63</v>
      </c>
      <c r="AK97" s="3" t="s">
        <v>64</v>
      </c>
      <c r="AL97" s="13">
        <f t="shared" si="13"/>
        <v>11</v>
      </c>
      <c r="AM97" s="15">
        <f t="shared" si="14"/>
        <v>0</v>
      </c>
      <c r="AN97" s="3">
        <f t="shared" si="15"/>
        <v>3</v>
      </c>
      <c r="AO97" s="3" t="str">
        <f t="shared" si="16"/>
        <v>No</v>
      </c>
      <c r="AP97" s="17">
        <f t="shared" si="17"/>
        <v>0.91666666666666674</v>
      </c>
      <c r="AQ97" s="17">
        <f t="shared" si="18"/>
        <v>0.38443731048634588</v>
      </c>
      <c r="AR97" s="17">
        <f t="shared" si="19"/>
        <v>0</v>
      </c>
      <c r="AS97" s="15">
        <f t="shared" si="20"/>
        <v>63888888.888888888</v>
      </c>
      <c r="AT97" s="17">
        <f t="shared" si="21"/>
        <v>7.3043478260869571E-2</v>
      </c>
      <c r="AU97" s="17">
        <f t="shared" si="22"/>
        <v>7.8260869565217397E-2</v>
      </c>
      <c r="AV97" s="15">
        <f t="shared" si="23"/>
        <v>3333333.3333333335</v>
      </c>
      <c r="AW97" s="18">
        <f t="shared" si="24"/>
        <v>0</v>
      </c>
      <c r="AX97" s="27" t="str">
        <f>IF(OR(K97&lt;Outlier_Audit!$H$2,K97&gt;Outlier_Audit!$I$2),"Review","Normal")</f>
        <v>Normal</v>
      </c>
      <c r="AY97" t="str">
        <f t="shared" si="25"/>
        <v>10-19 years</v>
      </c>
      <c r="AZ97" t="str">
        <f>IF(AQ97="","Missing",IF(AQ97&gt;=EDA_Performance!$B$7,"High Growth",IF(AQ97&lt;=EDA_Performance!$B$5,"Low Growth","Middle")))</f>
        <v>High Growth</v>
      </c>
    </row>
    <row r="98" spans="1:52">
      <c r="A98" s="12">
        <v>1614354</v>
      </c>
      <c r="B98" s="3" t="s">
        <v>49</v>
      </c>
      <c r="C98" s="3" t="s">
        <v>66</v>
      </c>
      <c r="D98" s="13">
        <v>140</v>
      </c>
      <c r="E98" s="13">
        <v>2511</v>
      </c>
      <c r="F98" s="13">
        <v>25</v>
      </c>
      <c r="G98" s="3" t="s">
        <v>76</v>
      </c>
      <c r="H98" s="13">
        <v>2010</v>
      </c>
      <c r="I98" s="13">
        <v>25</v>
      </c>
      <c r="J98" s="14">
        <v>1.6637996435165405</v>
      </c>
      <c r="K98" s="15">
        <v>900000000</v>
      </c>
      <c r="L98" s="15">
        <v>1100000000</v>
      </c>
      <c r="M98" s="16">
        <v>60</v>
      </c>
      <c r="N98" s="13">
        <v>140</v>
      </c>
      <c r="O98" s="13">
        <v>132</v>
      </c>
      <c r="P98" s="15">
        <v>300000000</v>
      </c>
      <c r="Q98" s="15">
        <v>500000000</v>
      </c>
      <c r="R98" s="15">
        <v>150000000</v>
      </c>
      <c r="S98" s="16">
        <v>0</v>
      </c>
      <c r="T98" s="3" t="s">
        <v>52</v>
      </c>
      <c r="U98" s="3" t="s">
        <v>53</v>
      </c>
      <c r="V98" s="3" t="s">
        <v>53</v>
      </c>
      <c r="W98" s="16">
        <v>98</v>
      </c>
      <c r="X98" s="16">
        <v>0</v>
      </c>
      <c r="Y98" s="16">
        <v>2</v>
      </c>
      <c r="Z98" s="3" t="s">
        <v>53</v>
      </c>
      <c r="AA98" s="15"/>
      <c r="AB98" s="3" t="s">
        <v>53</v>
      </c>
      <c r="AC98" s="3" t="s">
        <v>53</v>
      </c>
      <c r="AD98" s="3" t="s">
        <v>52</v>
      </c>
      <c r="AE98" s="16">
        <v>8</v>
      </c>
      <c r="AF98" s="3" t="s">
        <v>55</v>
      </c>
      <c r="AG98" s="3" t="s">
        <v>54</v>
      </c>
      <c r="AH98" s="3" t="s">
        <v>62</v>
      </c>
      <c r="AI98" s="3" t="s">
        <v>67</v>
      </c>
      <c r="AJ98" s="3" t="s">
        <v>63</v>
      </c>
      <c r="AK98" s="3" t="s">
        <v>57</v>
      </c>
      <c r="AL98" s="13">
        <f t="shared" si="13"/>
        <v>14</v>
      </c>
      <c r="AM98" s="15">
        <f t="shared" si="14"/>
        <v>0</v>
      </c>
      <c r="AN98" s="3">
        <f t="shared" si="15"/>
        <v>8</v>
      </c>
      <c r="AO98" s="3" t="str">
        <f t="shared" si="16"/>
        <v>No</v>
      </c>
      <c r="AP98" s="17">
        <f t="shared" si="17"/>
        <v>-0.18181818181818177</v>
      </c>
      <c r="AQ98" s="17">
        <f t="shared" si="18"/>
        <v>-9.5465966266709112E-2</v>
      </c>
      <c r="AR98" s="17">
        <f t="shared" si="19"/>
        <v>6.0606060606060552E-2</v>
      </c>
      <c r="AS98" s="15">
        <f t="shared" si="20"/>
        <v>6428571.4285714282</v>
      </c>
      <c r="AT98" s="17">
        <f t="shared" si="21"/>
        <v>0.33333333333333331</v>
      </c>
      <c r="AU98" s="17">
        <f t="shared" si="22"/>
        <v>0.55555555555555558</v>
      </c>
      <c r="AV98" s="15">
        <f t="shared" si="23"/>
        <v>1071428.5714285714</v>
      </c>
      <c r="AW98" s="18">
        <f t="shared" si="24"/>
        <v>0</v>
      </c>
      <c r="AX98" s="27" t="str">
        <f>IF(OR(K98&lt;Outlier_Audit!$H$2,K98&gt;Outlier_Audit!$I$2),"Review","Normal")</f>
        <v>Normal</v>
      </c>
      <c r="AY98" t="str">
        <f t="shared" si="25"/>
        <v>10-19 years</v>
      </c>
      <c r="AZ98" t="str">
        <f>IF(AQ98="","Missing",IF(AQ98&gt;=EDA_Performance!$B$7,"High Growth",IF(AQ98&lt;=EDA_Performance!$B$5,"Low Growth","Middle")))</f>
        <v>Low Growth</v>
      </c>
    </row>
    <row r="99" spans="1:52">
      <c r="A99" s="12">
        <v>1614355</v>
      </c>
      <c r="B99" s="3" t="s">
        <v>80</v>
      </c>
      <c r="C99" s="3" t="s">
        <v>66</v>
      </c>
      <c r="D99" s="13">
        <v>15</v>
      </c>
      <c r="E99" s="13">
        <v>2599</v>
      </c>
      <c r="F99" s="13">
        <v>25</v>
      </c>
      <c r="G99" s="3" t="s">
        <v>76</v>
      </c>
      <c r="H99" s="13">
        <v>2013</v>
      </c>
      <c r="I99" s="13">
        <v>12</v>
      </c>
      <c r="J99" s="14">
        <v>2.6425690650939941</v>
      </c>
      <c r="K99" s="15">
        <v>2700000000</v>
      </c>
      <c r="L99" s="15">
        <v>1300000000</v>
      </c>
      <c r="M99" s="16">
        <v>60</v>
      </c>
      <c r="N99" s="13">
        <v>15</v>
      </c>
      <c r="O99" s="13">
        <v>15</v>
      </c>
      <c r="P99" s="15">
        <v>500000000</v>
      </c>
      <c r="Q99" s="15">
        <v>800000000</v>
      </c>
      <c r="R99" s="15">
        <v>3000000000</v>
      </c>
      <c r="S99" s="16">
        <v>0</v>
      </c>
      <c r="T99" s="3" t="s">
        <v>60</v>
      </c>
      <c r="U99" s="3" t="s">
        <v>53</v>
      </c>
      <c r="V99" s="3" t="s">
        <v>53</v>
      </c>
      <c r="W99" s="16">
        <v>95</v>
      </c>
      <c r="X99" s="16">
        <v>0</v>
      </c>
      <c r="Y99" s="16">
        <v>0</v>
      </c>
      <c r="Z99" s="3" t="s">
        <v>53</v>
      </c>
      <c r="AA99" s="15"/>
      <c r="AB99" s="3" t="s">
        <v>53</v>
      </c>
      <c r="AC99" s="3" t="s">
        <v>53</v>
      </c>
      <c r="AD99" s="3" t="s">
        <v>53</v>
      </c>
      <c r="AE99" s="16"/>
      <c r="AF99" s="3" t="s">
        <v>54</v>
      </c>
      <c r="AG99" s="3" t="s">
        <v>62</v>
      </c>
      <c r="AH99" s="3" t="s">
        <v>62</v>
      </c>
      <c r="AI99" s="3" t="s">
        <v>62</v>
      </c>
      <c r="AJ99" s="3" t="s">
        <v>63</v>
      </c>
      <c r="AK99" s="3" t="s">
        <v>57</v>
      </c>
      <c r="AL99" s="13">
        <f t="shared" si="13"/>
        <v>11</v>
      </c>
      <c r="AM99" s="15">
        <f t="shared" si="14"/>
        <v>0</v>
      </c>
      <c r="AN99" s="3">
        <f t="shared" si="15"/>
        <v>0</v>
      </c>
      <c r="AO99" s="3" t="str">
        <f t="shared" si="16"/>
        <v>No</v>
      </c>
      <c r="AP99" s="17">
        <f t="shared" si="17"/>
        <v>1.0769230769230771</v>
      </c>
      <c r="AQ99" s="17">
        <f t="shared" si="18"/>
        <v>0.44115338424578421</v>
      </c>
      <c r="AR99" s="17">
        <f t="shared" si="19"/>
        <v>0</v>
      </c>
      <c r="AS99" s="15">
        <f t="shared" si="20"/>
        <v>180000000</v>
      </c>
      <c r="AT99" s="17">
        <f t="shared" si="21"/>
        <v>0.18518518518518517</v>
      </c>
      <c r="AU99" s="17">
        <f t="shared" si="22"/>
        <v>0.29629629629629628</v>
      </c>
      <c r="AV99" s="15">
        <f t="shared" si="23"/>
        <v>200000000</v>
      </c>
      <c r="AW99" s="18">
        <f t="shared" si="24"/>
        <v>0</v>
      </c>
      <c r="AX99" s="27" t="str">
        <f>IF(OR(K99&lt;Outlier_Audit!$H$2,K99&gt;Outlier_Audit!$I$2),"Review","Normal")</f>
        <v>Normal</v>
      </c>
      <c r="AY99" t="str">
        <f t="shared" si="25"/>
        <v>10-19 years</v>
      </c>
      <c r="AZ99" t="str">
        <f>IF(AQ99="","Missing",IF(AQ99&gt;=EDA_Performance!$B$7,"High Growth",IF(AQ99&lt;=EDA_Performance!$B$5,"Low Growth","Middle")))</f>
        <v>High Growth</v>
      </c>
    </row>
    <row r="100" spans="1:52">
      <c r="A100" s="12">
        <v>1614359</v>
      </c>
      <c r="B100" s="3" t="s">
        <v>65</v>
      </c>
      <c r="C100" s="3" t="s">
        <v>66</v>
      </c>
      <c r="D100" s="13">
        <v>500</v>
      </c>
      <c r="E100" s="13">
        <v>1072</v>
      </c>
      <c r="F100" s="13">
        <v>10</v>
      </c>
      <c r="G100" s="3" t="s">
        <v>51</v>
      </c>
      <c r="H100" s="13">
        <v>2012</v>
      </c>
      <c r="I100" s="13">
        <v>20</v>
      </c>
      <c r="J100" s="14">
        <v>23.458492279052734</v>
      </c>
      <c r="K100" s="15">
        <v>1200000000</v>
      </c>
      <c r="L100" s="15">
        <v>950000000</v>
      </c>
      <c r="M100" s="16">
        <v>35</v>
      </c>
      <c r="N100" s="13">
        <v>205</v>
      </c>
      <c r="O100" s="13">
        <v>200</v>
      </c>
      <c r="P100" s="15">
        <v>300000000</v>
      </c>
      <c r="Q100" s="15">
        <v>100000000</v>
      </c>
      <c r="R100" s="15"/>
      <c r="S100" s="16">
        <v>0</v>
      </c>
      <c r="T100" s="3" t="s">
        <v>52</v>
      </c>
      <c r="U100" s="3" t="s">
        <v>52</v>
      </c>
      <c r="V100" s="3" t="s">
        <v>53</v>
      </c>
      <c r="W100" s="16">
        <v>90</v>
      </c>
      <c r="X100" s="16">
        <v>5</v>
      </c>
      <c r="Y100" s="16">
        <v>0</v>
      </c>
      <c r="Z100" s="3" t="s">
        <v>53</v>
      </c>
      <c r="AA100" s="15"/>
      <c r="AB100" s="3" t="s">
        <v>53</v>
      </c>
      <c r="AC100" s="3" t="s">
        <v>53</v>
      </c>
      <c r="AD100" s="3" t="s">
        <v>52</v>
      </c>
      <c r="AE100" s="16">
        <v>5</v>
      </c>
      <c r="AF100" s="3" t="s">
        <v>54</v>
      </c>
      <c r="AG100" s="3" t="s">
        <v>55</v>
      </c>
      <c r="AH100" s="3" t="s">
        <v>67</v>
      </c>
      <c r="AI100" s="3" t="s">
        <v>67</v>
      </c>
      <c r="AJ100" s="3" t="s">
        <v>70</v>
      </c>
      <c r="AK100" s="3" t="s">
        <v>57</v>
      </c>
      <c r="AL100" s="13">
        <f t="shared" si="13"/>
        <v>12</v>
      </c>
      <c r="AM100" s="15">
        <f t="shared" si="14"/>
        <v>0</v>
      </c>
      <c r="AN100" s="3">
        <f t="shared" si="15"/>
        <v>5</v>
      </c>
      <c r="AO100" s="3" t="str">
        <f t="shared" si="16"/>
        <v>No</v>
      </c>
      <c r="AP100" s="17">
        <f t="shared" si="17"/>
        <v>0.26315789473684204</v>
      </c>
      <c r="AQ100" s="17">
        <f t="shared" si="18"/>
        <v>0.12390297389803262</v>
      </c>
      <c r="AR100" s="17">
        <f t="shared" si="19"/>
        <v>2.4999999999999911E-2</v>
      </c>
      <c r="AS100" s="15">
        <f t="shared" si="20"/>
        <v>5853658.5365853654</v>
      </c>
      <c r="AT100" s="17">
        <f t="shared" si="21"/>
        <v>0.25</v>
      </c>
      <c r="AU100" s="17">
        <f t="shared" si="22"/>
        <v>8.3333333333333329E-2</v>
      </c>
      <c r="AV100" s="15" t="str">
        <f t="shared" si="23"/>
        <v/>
      </c>
      <c r="AW100" s="18">
        <f t="shared" si="24"/>
        <v>0</v>
      </c>
      <c r="AX100" s="27" t="str">
        <f>IF(OR(K100&lt;Outlier_Audit!$H$2,K100&gt;Outlier_Audit!$I$2),"Review","Normal")</f>
        <v>Normal</v>
      </c>
      <c r="AY100" t="str">
        <f t="shared" si="25"/>
        <v>10-19 years</v>
      </c>
      <c r="AZ100" t="str">
        <f>IF(AQ100="","Missing",IF(AQ100&gt;=EDA_Performance!$B$7,"High Growth",IF(AQ100&lt;=EDA_Performance!$B$5,"Low Growth","Middle")))</f>
        <v>Middle</v>
      </c>
    </row>
    <row r="101" spans="1:52">
      <c r="A101" s="12">
        <v>1614361</v>
      </c>
      <c r="B101" s="3" t="s">
        <v>80</v>
      </c>
      <c r="C101" s="3" t="s">
        <v>50</v>
      </c>
      <c r="D101" s="13">
        <v>450</v>
      </c>
      <c r="E101" s="13">
        <v>1040</v>
      </c>
      <c r="F101" s="13">
        <v>10</v>
      </c>
      <c r="G101" s="3" t="s">
        <v>51</v>
      </c>
      <c r="H101" s="13">
        <v>2008</v>
      </c>
      <c r="I101" s="13">
        <v>15</v>
      </c>
      <c r="J101" s="14">
        <v>1</v>
      </c>
      <c r="K101" s="15">
        <v>150000000000</v>
      </c>
      <c r="L101" s="15">
        <v>120000000000</v>
      </c>
      <c r="M101" s="16">
        <v>100</v>
      </c>
      <c r="N101" s="13">
        <v>400</v>
      </c>
      <c r="O101" s="13">
        <v>300</v>
      </c>
      <c r="P101" s="15">
        <v>4300000000</v>
      </c>
      <c r="Q101" s="15">
        <v>10000000000</v>
      </c>
      <c r="R101" s="15">
        <v>15000000000</v>
      </c>
      <c r="S101" s="16">
        <v>15</v>
      </c>
      <c r="T101" s="3" t="s">
        <v>52</v>
      </c>
      <c r="U101" s="3" t="s">
        <v>52</v>
      </c>
      <c r="V101" s="3" t="s">
        <v>53</v>
      </c>
      <c r="W101" s="16">
        <v>10</v>
      </c>
      <c r="X101" s="16">
        <v>60</v>
      </c>
      <c r="Y101" s="16">
        <v>30</v>
      </c>
      <c r="Z101" s="3" t="s">
        <v>53</v>
      </c>
      <c r="AA101" s="15"/>
      <c r="AB101" s="3" t="s">
        <v>52</v>
      </c>
      <c r="AC101" s="3" t="s">
        <v>52</v>
      </c>
      <c r="AD101" s="3" t="s">
        <v>52</v>
      </c>
      <c r="AE101" s="16">
        <v>4</v>
      </c>
      <c r="AF101" s="3" t="s">
        <v>54</v>
      </c>
      <c r="AG101" s="3" t="s">
        <v>67</v>
      </c>
      <c r="AH101" s="3" t="s">
        <v>67</v>
      </c>
      <c r="AI101" s="3" t="s">
        <v>55</v>
      </c>
      <c r="AJ101" s="3" t="s">
        <v>81</v>
      </c>
      <c r="AK101" s="3" t="s">
        <v>57</v>
      </c>
      <c r="AL101" s="13">
        <f t="shared" si="13"/>
        <v>16</v>
      </c>
      <c r="AM101" s="15">
        <f t="shared" si="14"/>
        <v>0</v>
      </c>
      <c r="AN101" s="3">
        <f t="shared" si="15"/>
        <v>4</v>
      </c>
      <c r="AO101" s="3" t="str">
        <f t="shared" si="16"/>
        <v>Yes</v>
      </c>
      <c r="AP101" s="17">
        <f t="shared" si="17"/>
        <v>0.25</v>
      </c>
      <c r="AQ101" s="17">
        <f t="shared" si="18"/>
        <v>0.1180339887498949</v>
      </c>
      <c r="AR101" s="17">
        <f t="shared" si="19"/>
        <v>0.33333333333333326</v>
      </c>
      <c r="AS101" s="15">
        <f t="shared" si="20"/>
        <v>375000000</v>
      </c>
      <c r="AT101" s="17">
        <f t="shared" si="21"/>
        <v>2.8666666666666667E-2</v>
      </c>
      <c r="AU101" s="17">
        <f t="shared" si="22"/>
        <v>6.6666666666666666E-2</v>
      </c>
      <c r="AV101" s="15">
        <f t="shared" si="23"/>
        <v>37500000</v>
      </c>
      <c r="AW101" s="18">
        <f t="shared" si="24"/>
        <v>0</v>
      </c>
      <c r="AX101" s="27" t="str">
        <f>IF(OR(K101&lt;Outlier_Audit!$H$2,K101&gt;Outlier_Audit!$I$2),"Review","Normal")</f>
        <v>Review</v>
      </c>
      <c r="AY101" t="str">
        <f t="shared" si="25"/>
        <v>10-19 years</v>
      </c>
      <c r="AZ101" t="str">
        <f>IF(AQ101="","Missing",IF(AQ101&gt;=EDA_Performance!$B$7,"High Growth",IF(AQ101&lt;=EDA_Performance!$B$5,"Low Growth","Middle")))</f>
        <v>Middle</v>
      </c>
    </row>
    <row r="102" spans="1:52">
      <c r="A102" s="12">
        <v>1614365</v>
      </c>
      <c r="B102" s="3" t="s">
        <v>65</v>
      </c>
      <c r="C102" s="3" t="s">
        <v>50</v>
      </c>
      <c r="D102" s="13">
        <v>272</v>
      </c>
      <c r="E102" s="13">
        <v>1811</v>
      </c>
      <c r="F102" s="13">
        <v>18</v>
      </c>
      <c r="G102" s="3" t="s">
        <v>72</v>
      </c>
      <c r="H102" s="13">
        <v>1986</v>
      </c>
      <c r="I102" s="13">
        <v>18</v>
      </c>
      <c r="J102" s="14">
        <v>2.0788314342498779</v>
      </c>
      <c r="K102" s="15">
        <v>100000000000</v>
      </c>
      <c r="L102" s="15">
        <v>95000000000</v>
      </c>
      <c r="M102" s="16">
        <v>100</v>
      </c>
      <c r="N102" s="13">
        <v>222</v>
      </c>
      <c r="O102" s="13">
        <v>230</v>
      </c>
      <c r="P102" s="15">
        <v>9466088000</v>
      </c>
      <c r="Q102" s="15">
        <v>13462091000</v>
      </c>
      <c r="R102" s="15">
        <v>23246174000</v>
      </c>
      <c r="S102" s="16">
        <v>0</v>
      </c>
      <c r="T102" s="3" t="s">
        <v>52</v>
      </c>
      <c r="U102" s="3" t="s">
        <v>52</v>
      </c>
      <c r="V102" s="3" t="s">
        <v>52</v>
      </c>
      <c r="W102" s="16">
        <v>93</v>
      </c>
      <c r="X102" s="16">
        <v>7</v>
      </c>
      <c r="Y102" s="16">
        <v>0</v>
      </c>
      <c r="Z102" s="3" t="s">
        <v>53</v>
      </c>
      <c r="AA102" s="15"/>
      <c r="AB102" s="3" t="s">
        <v>53</v>
      </c>
      <c r="AC102" s="3" t="s">
        <v>52</v>
      </c>
      <c r="AD102" s="3" t="s">
        <v>52</v>
      </c>
      <c r="AE102" s="16">
        <v>2</v>
      </c>
      <c r="AF102" s="3" t="s">
        <v>62</v>
      </c>
      <c r="AG102" s="3" t="s">
        <v>62</v>
      </c>
      <c r="AH102" s="3" t="s">
        <v>62</v>
      </c>
      <c r="AI102" s="3" t="s">
        <v>67</v>
      </c>
      <c r="AJ102" s="3" t="s">
        <v>79</v>
      </c>
      <c r="AK102" s="3" t="s">
        <v>64</v>
      </c>
      <c r="AL102" s="13">
        <f t="shared" si="13"/>
        <v>38</v>
      </c>
      <c r="AM102" s="15">
        <f t="shared" si="14"/>
        <v>0</v>
      </c>
      <c r="AN102" s="3">
        <f t="shared" si="15"/>
        <v>2</v>
      </c>
      <c r="AO102" s="3" t="str">
        <f t="shared" si="16"/>
        <v>No</v>
      </c>
      <c r="AP102" s="17">
        <f t="shared" si="17"/>
        <v>5.2631578947368363E-2</v>
      </c>
      <c r="AQ102" s="17">
        <f t="shared" si="18"/>
        <v>2.5978352085153977E-2</v>
      </c>
      <c r="AR102" s="17">
        <f t="shared" si="19"/>
        <v>-3.4782608695652195E-2</v>
      </c>
      <c r="AS102" s="15">
        <f t="shared" si="20"/>
        <v>450450450.45045048</v>
      </c>
      <c r="AT102" s="17">
        <f t="shared" si="21"/>
        <v>9.4660880000000003E-2</v>
      </c>
      <c r="AU102" s="17">
        <f t="shared" si="22"/>
        <v>0.13462091000000001</v>
      </c>
      <c r="AV102" s="15">
        <f t="shared" si="23"/>
        <v>104712495.4954955</v>
      </c>
      <c r="AW102" s="18">
        <f t="shared" si="24"/>
        <v>0</v>
      </c>
      <c r="AX102" s="27" t="str">
        <f>IF(OR(K102&lt;Outlier_Audit!$H$2,K102&gt;Outlier_Audit!$I$2),"Review","Normal")</f>
        <v>Review</v>
      </c>
      <c r="AY102" t="str">
        <f t="shared" si="25"/>
        <v>30+ years</v>
      </c>
      <c r="AZ102" t="str">
        <f>IF(AQ102="","Missing",IF(AQ102&gt;=EDA_Performance!$B$7,"High Growth",IF(AQ102&lt;=EDA_Performance!$B$5,"Low Growth","Middle")))</f>
        <v>Low Growth</v>
      </c>
    </row>
    <row r="103" spans="1:52">
      <c r="A103" s="12">
        <v>1614370</v>
      </c>
      <c r="B103" s="3" t="s">
        <v>80</v>
      </c>
      <c r="C103" s="3" t="s">
        <v>58</v>
      </c>
      <c r="D103" s="13">
        <v>17</v>
      </c>
      <c r="E103" s="13">
        <v>2511</v>
      </c>
      <c r="F103" s="13">
        <v>25</v>
      </c>
      <c r="G103" s="3" t="s">
        <v>76</v>
      </c>
      <c r="H103" s="13">
        <v>2019</v>
      </c>
      <c r="I103" s="13">
        <v>7</v>
      </c>
      <c r="J103" s="14">
        <v>18.668731689453125</v>
      </c>
      <c r="K103" s="15">
        <v>280000000</v>
      </c>
      <c r="L103" s="15">
        <v>270000000</v>
      </c>
      <c r="M103" s="16">
        <v>50</v>
      </c>
      <c r="N103" s="13">
        <v>17</v>
      </c>
      <c r="O103" s="13">
        <v>17</v>
      </c>
      <c r="P103" s="15">
        <v>58000000</v>
      </c>
      <c r="Q103" s="15">
        <v>85000000</v>
      </c>
      <c r="R103" s="15">
        <v>1000000000</v>
      </c>
      <c r="S103" s="16">
        <v>0</v>
      </c>
      <c r="T103" s="3" t="s">
        <v>60</v>
      </c>
      <c r="U103" s="3" t="s">
        <v>53</v>
      </c>
      <c r="V103" s="3" t="s">
        <v>53</v>
      </c>
      <c r="W103" s="16">
        <v>100</v>
      </c>
      <c r="X103" s="16">
        <v>0</v>
      </c>
      <c r="Y103" s="16">
        <v>0</v>
      </c>
      <c r="Z103" s="3" t="s">
        <v>53</v>
      </c>
      <c r="AA103" s="15"/>
      <c r="AB103" s="3" t="s">
        <v>53</v>
      </c>
      <c r="AC103" s="3" t="s">
        <v>53</v>
      </c>
      <c r="AD103" s="3" t="s">
        <v>53</v>
      </c>
      <c r="AE103" s="16"/>
      <c r="AF103" s="3" t="s">
        <v>62</v>
      </c>
      <c r="AG103" s="3" t="s">
        <v>62</v>
      </c>
      <c r="AH103" s="3" t="s">
        <v>62</v>
      </c>
      <c r="AI103" s="3" t="s">
        <v>62</v>
      </c>
      <c r="AJ103" s="3" t="s">
        <v>56</v>
      </c>
      <c r="AK103" s="3" t="s">
        <v>57</v>
      </c>
      <c r="AL103" s="13">
        <f t="shared" si="13"/>
        <v>5</v>
      </c>
      <c r="AM103" s="15">
        <f t="shared" si="14"/>
        <v>0</v>
      </c>
      <c r="AN103" s="3">
        <f t="shared" si="15"/>
        <v>0</v>
      </c>
      <c r="AO103" s="3" t="str">
        <f t="shared" si="16"/>
        <v>No</v>
      </c>
      <c r="AP103" s="17">
        <f t="shared" si="17"/>
        <v>3.7037037037036979E-2</v>
      </c>
      <c r="AQ103" s="17">
        <f t="shared" si="18"/>
        <v>1.8350154434631172E-2</v>
      </c>
      <c r="AR103" s="17">
        <f t="shared" si="19"/>
        <v>0</v>
      </c>
      <c r="AS103" s="15">
        <f t="shared" si="20"/>
        <v>16470588.235294119</v>
      </c>
      <c r="AT103" s="17">
        <f t="shared" si="21"/>
        <v>0.20714285714285716</v>
      </c>
      <c r="AU103" s="17">
        <f t="shared" si="22"/>
        <v>0.30357142857142855</v>
      </c>
      <c r="AV103" s="15">
        <f t="shared" si="23"/>
        <v>58823529.411764704</v>
      </c>
      <c r="AW103" s="18">
        <f t="shared" si="24"/>
        <v>0</v>
      </c>
      <c r="AX103" s="27" t="str">
        <f>IF(OR(K103&lt;Outlier_Audit!$H$2,K103&gt;Outlier_Audit!$I$2),"Review","Normal")</f>
        <v>Normal</v>
      </c>
      <c r="AY103" t="str">
        <f t="shared" si="25"/>
        <v>&lt;10 years</v>
      </c>
      <c r="AZ103" t="str">
        <f>IF(AQ103="","Missing",IF(AQ103&gt;=EDA_Performance!$B$7,"High Growth",IF(AQ103&lt;=EDA_Performance!$B$5,"Low Growth","Middle")))</f>
        <v>Low Growth</v>
      </c>
    </row>
    <row r="104" spans="1:52">
      <c r="A104" s="12">
        <v>1614372</v>
      </c>
      <c r="B104" s="3" t="s">
        <v>65</v>
      </c>
      <c r="C104" s="3" t="s">
        <v>50</v>
      </c>
      <c r="D104" s="13">
        <v>200</v>
      </c>
      <c r="E104" s="13">
        <v>2220</v>
      </c>
      <c r="F104" s="13">
        <v>22</v>
      </c>
      <c r="G104" s="3" t="s">
        <v>96</v>
      </c>
      <c r="H104" s="13">
        <v>1996</v>
      </c>
      <c r="I104" s="13">
        <v>15</v>
      </c>
      <c r="J104" s="14">
        <v>1.5749640464782715</v>
      </c>
      <c r="K104" s="15">
        <v>9600000000</v>
      </c>
      <c r="L104" s="15">
        <v>8000000000</v>
      </c>
      <c r="M104" s="16"/>
      <c r="N104" s="13">
        <v>200</v>
      </c>
      <c r="O104" s="13">
        <v>150</v>
      </c>
      <c r="P104" s="15">
        <v>500000000</v>
      </c>
      <c r="Q104" s="15">
        <v>250000000</v>
      </c>
      <c r="R104" s="15">
        <v>1000000000</v>
      </c>
      <c r="S104" s="16">
        <v>10</v>
      </c>
      <c r="T104" s="3" t="s">
        <v>53</v>
      </c>
      <c r="U104" s="3" t="s">
        <v>53</v>
      </c>
      <c r="V104" s="3" t="s">
        <v>53</v>
      </c>
      <c r="W104" s="16">
        <v>0</v>
      </c>
      <c r="X104" s="16">
        <v>0</v>
      </c>
      <c r="Y104" s="16">
        <v>0</v>
      </c>
      <c r="Z104" s="3" t="s">
        <v>53</v>
      </c>
      <c r="AA104" s="15"/>
      <c r="AB104" s="3" t="s">
        <v>53</v>
      </c>
      <c r="AC104" s="3" t="s">
        <v>53</v>
      </c>
      <c r="AD104" s="3" t="s">
        <v>53</v>
      </c>
      <c r="AE104" s="16"/>
      <c r="AF104" s="3" t="s">
        <v>67</v>
      </c>
      <c r="AG104" s="3" t="s">
        <v>62</v>
      </c>
      <c r="AH104" s="3" t="s">
        <v>62</v>
      </c>
      <c r="AI104" s="3" t="s">
        <v>62</v>
      </c>
      <c r="AJ104" s="3"/>
      <c r="AK104" s="3" t="s">
        <v>75</v>
      </c>
      <c r="AL104" s="13">
        <f t="shared" si="13"/>
        <v>28</v>
      </c>
      <c r="AM104" s="15">
        <f t="shared" si="14"/>
        <v>0</v>
      </c>
      <c r="AN104" s="3">
        <f t="shared" si="15"/>
        <v>0</v>
      </c>
      <c r="AO104" s="3" t="str">
        <f t="shared" si="16"/>
        <v>Yes</v>
      </c>
      <c r="AP104" s="17">
        <f t="shared" si="17"/>
        <v>0.19999999999999996</v>
      </c>
      <c r="AQ104" s="17">
        <f t="shared" si="18"/>
        <v>9.5445115010332149E-2</v>
      </c>
      <c r="AR104" s="17">
        <f t="shared" si="19"/>
        <v>0.33333333333333326</v>
      </c>
      <c r="AS104" s="15">
        <f t="shared" si="20"/>
        <v>48000000</v>
      </c>
      <c r="AT104" s="17">
        <f t="shared" si="21"/>
        <v>5.2083333333333336E-2</v>
      </c>
      <c r="AU104" s="17">
        <f t="shared" si="22"/>
        <v>2.6041666666666668E-2</v>
      </c>
      <c r="AV104" s="15">
        <f t="shared" si="23"/>
        <v>5000000</v>
      </c>
      <c r="AW104" s="18">
        <f t="shared" si="24"/>
        <v>0</v>
      </c>
      <c r="AX104" s="27" t="str">
        <f>IF(OR(K104&lt;Outlier_Audit!$H$2,K104&gt;Outlier_Audit!$I$2),"Review","Normal")</f>
        <v>Review</v>
      </c>
      <c r="AY104" t="str">
        <f t="shared" si="25"/>
        <v>20-29 years</v>
      </c>
      <c r="AZ104" t="str">
        <f>IF(AQ104="","Missing",IF(AQ104&gt;=EDA_Performance!$B$7,"High Growth",IF(AQ104&lt;=EDA_Performance!$B$5,"Low Growth","Middle")))</f>
        <v>Middle</v>
      </c>
    </row>
    <row r="105" spans="1:52">
      <c r="A105" s="12">
        <v>1614373</v>
      </c>
      <c r="B105" s="3" t="s">
        <v>49</v>
      </c>
      <c r="C105" s="3" t="s">
        <v>50</v>
      </c>
      <c r="D105" s="13">
        <v>28</v>
      </c>
      <c r="E105" s="13">
        <v>1079</v>
      </c>
      <c r="F105" s="13">
        <v>10</v>
      </c>
      <c r="G105" s="3" t="s">
        <v>51</v>
      </c>
      <c r="H105" s="13">
        <v>1997</v>
      </c>
      <c r="I105" s="13">
        <v>35</v>
      </c>
      <c r="J105" s="14">
        <v>1</v>
      </c>
      <c r="K105" s="15">
        <v>10000000000</v>
      </c>
      <c r="L105" s="15">
        <v>8500000000</v>
      </c>
      <c r="M105" s="16">
        <v>20</v>
      </c>
      <c r="N105" s="13">
        <v>28</v>
      </c>
      <c r="O105" s="13">
        <v>14</v>
      </c>
      <c r="P105" s="15">
        <v>500000000</v>
      </c>
      <c r="Q105" s="15">
        <v>3000000000</v>
      </c>
      <c r="R105" s="15">
        <v>1550000000</v>
      </c>
      <c r="S105" s="16">
        <v>100</v>
      </c>
      <c r="T105" s="3" t="s">
        <v>52</v>
      </c>
      <c r="U105" s="3" t="s">
        <v>53</v>
      </c>
      <c r="V105" s="3" t="s">
        <v>53</v>
      </c>
      <c r="W105" s="16">
        <v>60</v>
      </c>
      <c r="X105" s="16">
        <v>0</v>
      </c>
      <c r="Y105" s="16">
        <v>0</v>
      </c>
      <c r="Z105" s="3" t="s">
        <v>52</v>
      </c>
      <c r="AA105" s="15">
        <v>1000000000</v>
      </c>
      <c r="AB105" s="3" t="s">
        <v>53</v>
      </c>
      <c r="AC105" s="3" t="s">
        <v>53</v>
      </c>
      <c r="AD105" s="3" t="s">
        <v>52</v>
      </c>
      <c r="AE105" s="16">
        <v>8</v>
      </c>
      <c r="AF105" s="3" t="s">
        <v>67</v>
      </c>
      <c r="AG105" s="3" t="s">
        <v>62</v>
      </c>
      <c r="AH105" s="3" t="s">
        <v>62</v>
      </c>
      <c r="AI105" s="3" t="s">
        <v>62</v>
      </c>
      <c r="AJ105" s="3" t="s">
        <v>77</v>
      </c>
      <c r="AK105" s="3" t="s">
        <v>57</v>
      </c>
      <c r="AL105" s="13">
        <f t="shared" si="13"/>
        <v>27</v>
      </c>
      <c r="AM105" s="15">
        <f t="shared" si="14"/>
        <v>1000000000</v>
      </c>
      <c r="AN105" s="3">
        <f t="shared" si="15"/>
        <v>8</v>
      </c>
      <c r="AO105" s="3" t="str">
        <f t="shared" si="16"/>
        <v>Yes</v>
      </c>
      <c r="AP105" s="17">
        <f t="shared" si="17"/>
        <v>0.17647058823529416</v>
      </c>
      <c r="AQ105" s="17">
        <f t="shared" si="18"/>
        <v>8.4652289093280819E-2</v>
      </c>
      <c r="AR105" s="17">
        <f t="shared" si="19"/>
        <v>1</v>
      </c>
      <c r="AS105" s="15">
        <f t="shared" si="20"/>
        <v>357142857.14285713</v>
      </c>
      <c r="AT105" s="17">
        <f t="shared" si="21"/>
        <v>0.05</v>
      </c>
      <c r="AU105" s="17">
        <f t="shared" si="22"/>
        <v>0.3</v>
      </c>
      <c r="AV105" s="15">
        <f t="shared" si="23"/>
        <v>55357142.857142858</v>
      </c>
      <c r="AW105" s="18">
        <f t="shared" si="24"/>
        <v>0.1</v>
      </c>
      <c r="AX105" s="27" t="str">
        <f>IF(OR(K105&lt;Outlier_Audit!$H$2,K105&gt;Outlier_Audit!$I$2),"Review","Normal")</f>
        <v>Review</v>
      </c>
      <c r="AY105" t="str">
        <f t="shared" si="25"/>
        <v>20-29 years</v>
      </c>
      <c r="AZ105" t="str">
        <f>IF(AQ105="","Missing",IF(AQ105&gt;=EDA_Performance!$B$7,"High Growth",IF(AQ105&lt;=EDA_Performance!$B$5,"Low Growth","Middle")))</f>
        <v>Middle</v>
      </c>
    </row>
    <row r="106" spans="1:52">
      <c r="A106" s="12">
        <v>1614376</v>
      </c>
      <c r="B106" s="3" t="s">
        <v>80</v>
      </c>
      <c r="C106" s="3" t="s">
        <v>50</v>
      </c>
      <c r="D106" s="13">
        <v>15</v>
      </c>
      <c r="E106" s="13">
        <v>1061</v>
      </c>
      <c r="F106" s="13">
        <v>10</v>
      </c>
      <c r="G106" s="3" t="s">
        <v>51</v>
      </c>
      <c r="H106" s="13">
        <v>2009</v>
      </c>
      <c r="I106" s="13">
        <v>13</v>
      </c>
      <c r="J106" s="14">
        <v>1</v>
      </c>
      <c r="K106" s="15">
        <v>450000000</v>
      </c>
      <c r="L106" s="15">
        <v>450000000</v>
      </c>
      <c r="M106" s="16">
        <v>45</v>
      </c>
      <c r="N106" s="13">
        <v>15</v>
      </c>
      <c r="O106" s="13">
        <v>10</v>
      </c>
      <c r="P106" s="15">
        <v>45000000</v>
      </c>
      <c r="Q106" s="15">
        <v>50000000</v>
      </c>
      <c r="R106" s="15">
        <v>1000000000</v>
      </c>
      <c r="S106" s="16">
        <v>0</v>
      </c>
      <c r="T106" s="3" t="s">
        <v>60</v>
      </c>
      <c r="U106" s="3" t="s">
        <v>53</v>
      </c>
      <c r="V106" s="3" t="s">
        <v>53</v>
      </c>
      <c r="W106" s="16">
        <v>100</v>
      </c>
      <c r="X106" s="16">
        <v>0</v>
      </c>
      <c r="Y106" s="16">
        <v>0</v>
      </c>
      <c r="Z106" s="3" t="s">
        <v>53</v>
      </c>
      <c r="AA106" s="15"/>
      <c r="AB106" s="3" t="s">
        <v>53</v>
      </c>
      <c r="AC106" s="3" t="s">
        <v>53</v>
      </c>
      <c r="AD106" s="3" t="s">
        <v>53</v>
      </c>
      <c r="AE106" s="16"/>
      <c r="AF106" s="3" t="s">
        <v>67</v>
      </c>
      <c r="AG106" s="3" t="s">
        <v>62</v>
      </c>
      <c r="AH106" s="3" t="s">
        <v>62</v>
      </c>
      <c r="AI106" s="3" t="s">
        <v>67</v>
      </c>
      <c r="AJ106" s="3" t="s">
        <v>56</v>
      </c>
      <c r="AK106" s="3" t="s">
        <v>75</v>
      </c>
      <c r="AL106" s="13">
        <f t="shared" si="13"/>
        <v>15</v>
      </c>
      <c r="AM106" s="15">
        <f t="shared" si="14"/>
        <v>0</v>
      </c>
      <c r="AN106" s="3">
        <f t="shared" si="15"/>
        <v>0</v>
      </c>
      <c r="AO106" s="3" t="str">
        <f t="shared" si="16"/>
        <v>No</v>
      </c>
      <c r="AP106" s="17">
        <f t="shared" si="17"/>
        <v>0</v>
      </c>
      <c r="AQ106" s="17">
        <f t="shared" si="18"/>
        <v>0</v>
      </c>
      <c r="AR106" s="17">
        <f t="shared" si="19"/>
        <v>0.5</v>
      </c>
      <c r="AS106" s="15">
        <f t="shared" si="20"/>
        <v>30000000</v>
      </c>
      <c r="AT106" s="17">
        <f t="shared" si="21"/>
        <v>0.1</v>
      </c>
      <c r="AU106" s="17">
        <f t="shared" si="22"/>
        <v>0.1111111111111111</v>
      </c>
      <c r="AV106" s="15">
        <f t="shared" si="23"/>
        <v>66666666.666666664</v>
      </c>
      <c r="AW106" s="18">
        <f t="shared" si="24"/>
        <v>0</v>
      </c>
      <c r="AX106" s="27" t="str">
        <f>IF(OR(K106&lt;Outlier_Audit!$H$2,K106&gt;Outlier_Audit!$I$2),"Review","Normal")</f>
        <v>Normal</v>
      </c>
      <c r="AY106" t="str">
        <f t="shared" si="25"/>
        <v>10-19 years</v>
      </c>
      <c r="AZ106" t="str">
        <f>IF(AQ106="","Missing",IF(AQ106&gt;=EDA_Performance!$B$7,"High Growth",IF(AQ106&lt;=EDA_Performance!$B$5,"Low Growth","Middle")))</f>
        <v>Low Growth</v>
      </c>
    </row>
    <row r="107" spans="1:52">
      <c r="A107" s="12">
        <v>1614377</v>
      </c>
      <c r="B107" s="3" t="s">
        <v>49</v>
      </c>
      <c r="C107" s="3" t="s">
        <v>58</v>
      </c>
      <c r="D107" s="13">
        <v>18</v>
      </c>
      <c r="E107" s="13">
        <v>1061</v>
      </c>
      <c r="F107" s="13">
        <v>10</v>
      </c>
      <c r="G107" s="3" t="s">
        <v>51</v>
      </c>
      <c r="H107" s="13">
        <v>2010</v>
      </c>
      <c r="I107" s="13">
        <v>15</v>
      </c>
      <c r="J107" s="14">
        <v>7.8952765464782715</v>
      </c>
      <c r="K107" s="15">
        <v>100000000</v>
      </c>
      <c r="L107" s="15">
        <v>70000000</v>
      </c>
      <c r="M107" s="16">
        <v>90</v>
      </c>
      <c r="N107" s="13">
        <v>6</v>
      </c>
      <c r="O107" s="13">
        <v>6</v>
      </c>
      <c r="P107" s="15">
        <v>24000000</v>
      </c>
      <c r="Q107" s="15">
        <v>31000000</v>
      </c>
      <c r="R107" s="15">
        <v>120000000</v>
      </c>
      <c r="S107" s="16">
        <v>0</v>
      </c>
      <c r="T107" s="3" t="s">
        <v>60</v>
      </c>
      <c r="U107" s="3" t="s">
        <v>53</v>
      </c>
      <c r="V107" s="3" t="s">
        <v>53</v>
      </c>
      <c r="W107" s="16">
        <v>60</v>
      </c>
      <c r="X107" s="16">
        <v>20</v>
      </c>
      <c r="Y107" s="16">
        <v>0</v>
      </c>
      <c r="Z107" s="3" t="s">
        <v>53</v>
      </c>
      <c r="AA107" s="15"/>
      <c r="AB107" s="3" t="s">
        <v>52</v>
      </c>
      <c r="AC107" s="3" t="s">
        <v>52</v>
      </c>
      <c r="AD107" s="3" t="s">
        <v>53</v>
      </c>
      <c r="AE107" s="16"/>
      <c r="AF107" s="3" t="s">
        <v>55</v>
      </c>
      <c r="AG107" s="3" t="s">
        <v>61</v>
      </c>
      <c r="AH107" s="3" t="s">
        <v>55</v>
      </c>
      <c r="AI107" s="3" t="s">
        <v>55</v>
      </c>
      <c r="AJ107" s="3" t="s">
        <v>68</v>
      </c>
      <c r="AK107" s="3" t="s">
        <v>64</v>
      </c>
      <c r="AL107" s="13">
        <f t="shared" si="13"/>
        <v>14</v>
      </c>
      <c r="AM107" s="15">
        <f t="shared" si="14"/>
        <v>0</v>
      </c>
      <c r="AN107" s="3">
        <f t="shared" si="15"/>
        <v>0</v>
      </c>
      <c r="AO107" s="3" t="str">
        <f t="shared" si="16"/>
        <v>No</v>
      </c>
      <c r="AP107" s="17">
        <f t="shared" si="17"/>
        <v>0.4285714285714286</v>
      </c>
      <c r="AQ107" s="17">
        <f t="shared" si="18"/>
        <v>0.19522860933439357</v>
      </c>
      <c r="AR107" s="17">
        <f t="shared" si="19"/>
        <v>0</v>
      </c>
      <c r="AS107" s="15">
        <f t="shared" si="20"/>
        <v>16666666.666666666</v>
      </c>
      <c r="AT107" s="17">
        <f t="shared" si="21"/>
        <v>0.24</v>
      </c>
      <c r="AU107" s="17">
        <f t="shared" si="22"/>
        <v>0.31</v>
      </c>
      <c r="AV107" s="15">
        <f t="shared" si="23"/>
        <v>20000000</v>
      </c>
      <c r="AW107" s="18">
        <f t="shared" si="24"/>
        <v>0</v>
      </c>
      <c r="AX107" s="27" t="str">
        <f>IF(OR(K107&lt;Outlier_Audit!$H$2,K107&gt;Outlier_Audit!$I$2),"Review","Normal")</f>
        <v>Normal</v>
      </c>
      <c r="AY107" t="str">
        <f t="shared" si="25"/>
        <v>10-19 years</v>
      </c>
      <c r="AZ107" t="str">
        <f>IF(AQ107="","Missing",IF(AQ107&gt;=EDA_Performance!$B$7,"High Growth",IF(AQ107&lt;=EDA_Performance!$B$5,"Low Growth","Middle")))</f>
        <v>Middle</v>
      </c>
    </row>
    <row r="108" spans="1:52">
      <c r="A108" s="12">
        <v>1614381</v>
      </c>
      <c r="B108" s="3" t="s">
        <v>74</v>
      </c>
      <c r="C108" s="3" t="s">
        <v>66</v>
      </c>
      <c r="D108" s="13">
        <v>5</v>
      </c>
      <c r="E108" s="13">
        <v>2511</v>
      </c>
      <c r="F108" s="13">
        <v>25</v>
      </c>
      <c r="G108" s="3" t="s">
        <v>76</v>
      </c>
      <c r="H108" s="13">
        <v>2017</v>
      </c>
      <c r="I108" s="13">
        <v>10</v>
      </c>
      <c r="J108" s="14">
        <v>2.6198341846466064</v>
      </c>
      <c r="K108" s="15">
        <v>40000000</v>
      </c>
      <c r="L108" s="15">
        <v>10000000</v>
      </c>
      <c r="M108" s="16">
        <v>4</v>
      </c>
      <c r="N108" s="13">
        <v>5</v>
      </c>
      <c r="O108" s="13">
        <v>2</v>
      </c>
      <c r="P108" s="15">
        <v>5000000</v>
      </c>
      <c r="Q108" s="15">
        <v>20000000</v>
      </c>
      <c r="R108" s="15">
        <v>8000000</v>
      </c>
      <c r="S108" s="16">
        <v>0</v>
      </c>
      <c r="T108" s="3" t="s">
        <v>60</v>
      </c>
      <c r="U108" s="3" t="s">
        <v>53</v>
      </c>
      <c r="V108" s="3" t="s">
        <v>53</v>
      </c>
      <c r="W108" s="16">
        <v>40</v>
      </c>
      <c r="X108" s="16">
        <v>0</v>
      </c>
      <c r="Y108" s="16">
        <v>10</v>
      </c>
      <c r="Z108" s="3" t="s">
        <v>52</v>
      </c>
      <c r="AA108" s="15">
        <v>1500000</v>
      </c>
      <c r="AB108" s="3" t="s">
        <v>53</v>
      </c>
      <c r="AC108" s="3" t="s">
        <v>53</v>
      </c>
      <c r="AD108" s="3" t="s">
        <v>52</v>
      </c>
      <c r="AE108" s="16">
        <v>4</v>
      </c>
      <c r="AF108" s="3" t="s">
        <v>55</v>
      </c>
      <c r="AG108" s="3" t="s">
        <v>55</v>
      </c>
      <c r="AH108" s="3" t="s">
        <v>67</v>
      </c>
      <c r="AI108" s="3" t="s">
        <v>67</v>
      </c>
      <c r="AJ108" s="3" t="s">
        <v>63</v>
      </c>
      <c r="AK108" s="3" t="s">
        <v>75</v>
      </c>
      <c r="AL108" s="13">
        <f t="shared" si="13"/>
        <v>7</v>
      </c>
      <c r="AM108" s="15">
        <f t="shared" si="14"/>
        <v>1500000</v>
      </c>
      <c r="AN108" s="3">
        <f t="shared" si="15"/>
        <v>4</v>
      </c>
      <c r="AO108" s="3" t="str">
        <f t="shared" si="16"/>
        <v>No</v>
      </c>
      <c r="AP108" s="17">
        <f t="shared" si="17"/>
        <v>3</v>
      </c>
      <c r="AQ108" s="17">
        <f t="shared" si="18"/>
        <v>1</v>
      </c>
      <c r="AR108" s="17">
        <f t="shared" si="19"/>
        <v>1.5</v>
      </c>
      <c r="AS108" s="15">
        <f t="shared" si="20"/>
        <v>8000000</v>
      </c>
      <c r="AT108" s="17">
        <f t="shared" si="21"/>
        <v>0.125</v>
      </c>
      <c r="AU108" s="17">
        <f t="shared" si="22"/>
        <v>0.5</v>
      </c>
      <c r="AV108" s="15">
        <f t="shared" si="23"/>
        <v>1600000</v>
      </c>
      <c r="AW108" s="18">
        <f t="shared" si="24"/>
        <v>3.7499999999999999E-2</v>
      </c>
      <c r="AX108" s="27" t="str">
        <f>IF(OR(K108&lt;Outlier_Audit!$H$2,K108&gt;Outlier_Audit!$I$2),"Review","Normal")</f>
        <v>Normal</v>
      </c>
      <c r="AY108" t="str">
        <f t="shared" si="25"/>
        <v>&lt;10 years</v>
      </c>
      <c r="AZ108" t="str">
        <f>IF(AQ108="","Missing",IF(AQ108&gt;=EDA_Performance!$B$7,"High Growth",IF(AQ108&lt;=EDA_Performance!$B$5,"Low Growth","Middle")))</f>
        <v>High Growth</v>
      </c>
    </row>
    <row r="109" spans="1:52">
      <c r="A109" s="12">
        <v>1614384</v>
      </c>
      <c r="B109" s="3" t="s">
        <v>74</v>
      </c>
      <c r="C109" s="3" t="s">
        <v>66</v>
      </c>
      <c r="D109" s="13">
        <v>5</v>
      </c>
      <c r="E109" s="13">
        <v>3100</v>
      </c>
      <c r="F109" s="13">
        <v>31</v>
      </c>
      <c r="G109" s="3" t="s">
        <v>71</v>
      </c>
      <c r="H109" s="13">
        <v>2018</v>
      </c>
      <c r="I109" s="13">
        <v>10</v>
      </c>
      <c r="J109" s="14">
        <v>2.6198341846466064</v>
      </c>
      <c r="K109" s="15">
        <v>13000000</v>
      </c>
      <c r="L109" s="15"/>
      <c r="M109" s="16">
        <v>56</v>
      </c>
      <c r="N109" s="13">
        <v>5</v>
      </c>
      <c r="O109" s="13">
        <v>3</v>
      </c>
      <c r="P109" s="15">
        <v>7200000</v>
      </c>
      <c r="Q109" s="15"/>
      <c r="R109" s="15">
        <v>500000</v>
      </c>
      <c r="S109" s="16">
        <v>0</v>
      </c>
      <c r="T109" s="3" t="s">
        <v>60</v>
      </c>
      <c r="U109" s="3" t="s">
        <v>53</v>
      </c>
      <c r="V109" s="3" t="s">
        <v>53</v>
      </c>
      <c r="W109" s="16">
        <v>80</v>
      </c>
      <c r="X109" s="16">
        <v>0</v>
      </c>
      <c r="Y109" s="16">
        <v>20</v>
      </c>
      <c r="Z109" s="3" t="s">
        <v>53</v>
      </c>
      <c r="AA109" s="15"/>
      <c r="AB109" s="3" t="s">
        <v>53</v>
      </c>
      <c r="AC109" s="3" t="s">
        <v>53</v>
      </c>
      <c r="AD109" s="3" t="s">
        <v>53</v>
      </c>
      <c r="AE109" s="16"/>
      <c r="AF109" s="3"/>
      <c r="AG109" s="3" t="s">
        <v>55</v>
      </c>
      <c r="AH109" s="3" t="s">
        <v>62</v>
      </c>
      <c r="AI109" s="3" t="s">
        <v>54</v>
      </c>
      <c r="AJ109" s="3" t="s">
        <v>56</v>
      </c>
      <c r="AK109" s="3" t="s">
        <v>75</v>
      </c>
      <c r="AL109" s="13">
        <f t="shared" si="13"/>
        <v>6</v>
      </c>
      <c r="AM109" s="15">
        <f t="shared" si="14"/>
        <v>0</v>
      </c>
      <c r="AN109" s="3">
        <f t="shared" si="15"/>
        <v>0</v>
      </c>
      <c r="AO109" s="3" t="str">
        <f t="shared" si="16"/>
        <v>No</v>
      </c>
      <c r="AP109" s="17" t="str">
        <f t="shared" si="17"/>
        <v/>
      </c>
      <c r="AQ109" s="17" t="str">
        <f t="shared" si="18"/>
        <v/>
      </c>
      <c r="AR109" s="17">
        <f t="shared" si="19"/>
        <v>0.66666666666666674</v>
      </c>
      <c r="AS109" s="15">
        <f t="shared" si="20"/>
        <v>2600000</v>
      </c>
      <c r="AT109" s="17">
        <f t="shared" si="21"/>
        <v>0.55384615384615388</v>
      </c>
      <c r="AU109" s="17" t="str">
        <f t="shared" si="22"/>
        <v/>
      </c>
      <c r="AV109" s="15">
        <f t="shared" si="23"/>
        <v>100000</v>
      </c>
      <c r="AW109" s="18">
        <f t="shared" si="24"/>
        <v>0</v>
      </c>
      <c r="AX109" s="27" t="str">
        <f>IF(OR(K109&lt;Outlier_Audit!$H$2,K109&gt;Outlier_Audit!$I$2),"Review","Normal")</f>
        <v>Normal</v>
      </c>
      <c r="AY109" t="str">
        <f t="shared" si="25"/>
        <v>&lt;10 years</v>
      </c>
      <c r="AZ109" t="str">
        <f>IF(AQ109="","Missing",IF(AQ109&gt;=EDA_Performance!$B$7,"High Growth",IF(AQ109&lt;=EDA_Performance!$B$5,"Low Growth","Middle")))</f>
        <v>Missing</v>
      </c>
    </row>
    <row r="110" spans="1:52">
      <c r="A110" s="12">
        <v>1614386</v>
      </c>
      <c r="B110" s="3" t="s">
        <v>80</v>
      </c>
      <c r="C110" s="3" t="s">
        <v>58</v>
      </c>
      <c r="D110" s="13">
        <v>12</v>
      </c>
      <c r="E110" s="13">
        <v>1061</v>
      </c>
      <c r="F110" s="13">
        <v>10</v>
      </c>
      <c r="G110" s="3" t="s">
        <v>51</v>
      </c>
      <c r="H110" s="13">
        <v>2010</v>
      </c>
      <c r="I110" s="13">
        <v>17</v>
      </c>
      <c r="J110" s="14">
        <v>1.6450884342193604</v>
      </c>
      <c r="K110" s="15">
        <v>121000000</v>
      </c>
      <c r="L110" s="15">
        <v>97640000</v>
      </c>
      <c r="M110" s="16">
        <v>70</v>
      </c>
      <c r="N110" s="13">
        <v>8</v>
      </c>
      <c r="O110" s="13">
        <v>8</v>
      </c>
      <c r="P110" s="15">
        <v>13420000</v>
      </c>
      <c r="Q110" s="15">
        <v>57900000</v>
      </c>
      <c r="R110" s="15">
        <v>545000000</v>
      </c>
      <c r="S110" s="16">
        <v>0</v>
      </c>
      <c r="T110" s="3" t="s">
        <v>60</v>
      </c>
      <c r="U110" s="3" t="s">
        <v>53</v>
      </c>
      <c r="V110" s="3" t="s">
        <v>53</v>
      </c>
      <c r="W110" s="16">
        <v>70</v>
      </c>
      <c r="X110" s="16">
        <v>0</v>
      </c>
      <c r="Y110" s="16">
        <v>20</v>
      </c>
      <c r="Z110" s="3" t="s">
        <v>53</v>
      </c>
      <c r="AA110" s="15"/>
      <c r="AB110" s="3" t="s">
        <v>53</v>
      </c>
      <c r="AC110" s="3" t="s">
        <v>53</v>
      </c>
      <c r="AD110" s="3" t="s">
        <v>52</v>
      </c>
      <c r="AE110" s="16">
        <v>7</v>
      </c>
      <c r="AF110" s="3" t="s">
        <v>67</v>
      </c>
      <c r="AG110" s="3" t="s">
        <v>67</v>
      </c>
      <c r="AH110" s="3" t="s">
        <v>62</v>
      </c>
      <c r="AI110" s="3" t="s">
        <v>62</v>
      </c>
      <c r="AJ110" s="3" t="s">
        <v>56</v>
      </c>
      <c r="AK110" s="3" t="s">
        <v>75</v>
      </c>
      <c r="AL110" s="13">
        <f t="shared" si="13"/>
        <v>14</v>
      </c>
      <c r="AM110" s="15">
        <f t="shared" si="14"/>
        <v>0</v>
      </c>
      <c r="AN110" s="3">
        <f t="shared" si="15"/>
        <v>7</v>
      </c>
      <c r="AO110" s="3" t="str">
        <f t="shared" si="16"/>
        <v>No</v>
      </c>
      <c r="AP110" s="17">
        <f t="shared" si="17"/>
        <v>0.23924621056943884</v>
      </c>
      <c r="AQ110" s="17">
        <f t="shared" si="18"/>
        <v>0.11321435966728299</v>
      </c>
      <c r="AR110" s="17">
        <f t="shared" si="19"/>
        <v>0</v>
      </c>
      <c r="AS110" s="15">
        <f t="shared" si="20"/>
        <v>15125000</v>
      </c>
      <c r="AT110" s="17">
        <f t="shared" si="21"/>
        <v>0.11090909090909092</v>
      </c>
      <c r="AU110" s="17">
        <f t="shared" si="22"/>
        <v>0.47851239669421486</v>
      </c>
      <c r="AV110" s="15">
        <f t="shared" si="23"/>
        <v>68125000</v>
      </c>
      <c r="AW110" s="18">
        <f t="shared" si="24"/>
        <v>0</v>
      </c>
      <c r="AX110" s="27" t="str">
        <f>IF(OR(K110&lt;Outlier_Audit!$H$2,K110&gt;Outlier_Audit!$I$2),"Review","Normal")</f>
        <v>Normal</v>
      </c>
      <c r="AY110" t="str">
        <f t="shared" si="25"/>
        <v>10-19 years</v>
      </c>
      <c r="AZ110" t="str">
        <f>IF(AQ110="","Missing",IF(AQ110&gt;=EDA_Performance!$B$7,"High Growth",IF(AQ110&lt;=EDA_Performance!$B$5,"Low Growth","Middle")))</f>
        <v>Middle</v>
      </c>
    </row>
    <row r="111" spans="1:52">
      <c r="A111" s="12">
        <v>1614394</v>
      </c>
      <c r="B111" s="3" t="s">
        <v>65</v>
      </c>
      <c r="C111" s="3" t="s">
        <v>50</v>
      </c>
      <c r="D111" s="13">
        <v>180</v>
      </c>
      <c r="E111" s="13">
        <v>2410</v>
      </c>
      <c r="F111" s="13">
        <v>24</v>
      </c>
      <c r="G111" s="3" t="s">
        <v>73</v>
      </c>
      <c r="H111" s="13">
        <v>1964</v>
      </c>
      <c r="I111" s="13">
        <v>30</v>
      </c>
      <c r="J111" s="14">
        <v>1.5749640464782715</v>
      </c>
      <c r="K111" s="15">
        <v>311849205000</v>
      </c>
      <c r="L111" s="15">
        <v>297796133000</v>
      </c>
      <c r="M111" s="16">
        <v>50</v>
      </c>
      <c r="N111" s="13">
        <v>180</v>
      </c>
      <c r="O111" s="13">
        <v>150</v>
      </c>
      <c r="P111" s="15">
        <v>11370810000</v>
      </c>
      <c r="Q111" s="15">
        <v>26410481500</v>
      </c>
      <c r="R111" s="15">
        <v>70000000000</v>
      </c>
      <c r="S111" s="16">
        <v>5</v>
      </c>
      <c r="T111" s="3" t="s">
        <v>52</v>
      </c>
      <c r="U111" s="3" t="s">
        <v>53</v>
      </c>
      <c r="V111" s="3" t="s">
        <v>53</v>
      </c>
      <c r="W111" s="16">
        <v>100</v>
      </c>
      <c r="X111" s="16">
        <v>0</v>
      </c>
      <c r="Y111" s="16">
        <v>0</v>
      </c>
      <c r="Z111" s="3" t="s">
        <v>52</v>
      </c>
      <c r="AA111" s="15">
        <v>1000000000</v>
      </c>
      <c r="AB111" s="3" t="s">
        <v>53</v>
      </c>
      <c r="AC111" s="3" t="s">
        <v>53</v>
      </c>
      <c r="AD111" s="3" t="s">
        <v>52</v>
      </c>
      <c r="AE111" s="16">
        <v>30</v>
      </c>
      <c r="AF111" s="3" t="s">
        <v>62</v>
      </c>
      <c r="AG111" s="3" t="s">
        <v>62</v>
      </c>
      <c r="AH111" s="3" t="s">
        <v>62</v>
      </c>
      <c r="AI111" s="3" t="s">
        <v>61</v>
      </c>
      <c r="AJ111" s="3" t="s">
        <v>87</v>
      </c>
      <c r="AK111" s="3" t="s">
        <v>64</v>
      </c>
      <c r="AL111" s="13">
        <f t="shared" si="13"/>
        <v>60</v>
      </c>
      <c r="AM111" s="15">
        <f t="shared" si="14"/>
        <v>1000000000</v>
      </c>
      <c r="AN111" s="3">
        <f t="shared" si="15"/>
        <v>30</v>
      </c>
      <c r="AO111" s="3" t="str">
        <f t="shared" si="16"/>
        <v>Yes</v>
      </c>
      <c r="AP111" s="17">
        <f t="shared" si="17"/>
        <v>4.7190243400507814E-2</v>
      </c>
      <c r="AQ111" s="17">
        <f t="shared" si="18"/>
        <v>2.3323137332733168E-2</v>
      </c>
      <c r="AR111" s="17">
        <f t="shared" si="19"/>
        <v>0.19999999999999996</v>
      </c>
      <c r="AS111" s="15">
        <f t="shared" si="20"/>
        <v>1732495583.3333333</v>
      </c>
      <c r="AT111" s="17">
        <f t="shared" si="21"/>
        <v>3.6462526816446426E-2</v>
      </c>
      <c r="AU111" s="17">
        <f t="shared" si="22"/>
        <v>8.4689911266568732E-2</v>
      </c>
      <c r="AV111" s="15">
        <f t="shared" si="23"/>
        <v>388888888.8888889</v>
      </c>
      <c r="AW111" s="18">
        <f t="shared" si="24"/>
        <v>3.2066780481290629E-3</v>
      </c>
      <c r="AX111" s="27" t="str">
        <f>IF(OR(K111&lt;Outlier_Audit!$H$2,K111&gt;Outlier_Audit!$I$2),"Review","Normal")</f>
        <v>Review</v>
      </c>
      <c r="AY111" t="str">
        <f t="shared" si="25"/>
        <v>30+ years</v>
      </c>
      <c r="AZ111" t="str">
        <f>IF(AQ111="","Missing",IF(AQ111&gt;=EDA_Performance!$B$7,"High Growth",IF(AQ111&lt;=EDA_Performance!$B$5,"Low Growth","Middle")))</f>
        <v>Low Growth</v>
      </c>
    </row>
    <row r="112" spans="1:52">
      <c r="A112" s="12">
        <v>1614398</v>
      </c>
      <c r="B112" s="3" t="s">
        <v>74</v>
      </c>
      <c r="C112" s="3" t="s">
        <v>66</v>
      </c>
      <c r="D112" s="13">
        <v>10</v>
      </c>
      <c r="E112" s="13">
        <v>1079</v>
      </c>
      <c r="F112" s="13">
        <v>10</v>
      </c>
      <c r="G112" s="3" t="s">
        <v>51</v>
      </c>
      <c r="H112" s="13">
        <v>2019</v>
      </c>
      <c r="I112" s="13">
        <v>10</v>
      </c>
      <c r="J112" s="14">
        <v>1.6504706144332886</v>
      </c>
      <c r="K112" s="15">
        <v>24000000</v>
      </c>
      <c r="L112" s="15">
        <v>21000000</v>
      </c>
      <c r="M112" s="16">
        <v>30</v>
      </c>
      <c r="N112" s="13">
        <v>2</v>
      </c>
      <c r="O112" s="13">
        <v>2</v>
      </c>
      <c r="P112" s="15">
        <v>15600000</v>
      </c>
      <c r="Q112" s="15">
        <v>5000000</v>
      </c>
      <c r="R112" s="15">
        <v>1200000</v>
      </c>
      <c r="S112" s="16">
        <v>0</v>
      </c>
      <c r="T112" s="3" t="s">
        <v>60</v>
      </c>
      <c r="U112" s="3" t="s">
        <v>53</v>
      </c>
      <c r="V112" s="3" t="s">
        <v>53</v>
      </c>
      <c r="W112" s="16">
        <v>10</v>
      </c>
      <c r="X112" s="16">
        <v>0</v>
      </c>
      <c r="Y112" s="16">
        <v>0</v>
      </c>
      <c r="Z112" s="3" t="s">
        <v>52</v>
      </c>
      <c r="AA112" s="15">
        <v>3000000</v>
      </c>
      <c r="AB112" s="3" t="s">
        <v>53</v>
      </c>
      <c r="AC112" s="3" t="s">
        <v>53</v>
      </c>
      <c r="AD112" s="3" t="s">
        <v>52</v>
      </c>
      <c r="AE112" s="16">
        <v>8</v>
      </c>
      <c r="AF112" s="3" t="s">
        <v>54</v>
      </c>
      <c r="AG112" s="3" t="s">
        <v>55</v>
      </c>
      <c r="AH112" s="3" t="s">
        <v>54</v>
      </c>
      <c r="AI112" s="3" t="s">
        <v>54</v>
      </c>
      <c r="AJ112" s="3" t="s">
        <v>81</v>
      </c>
      <c r="AK112" s="3" t="s">
        <v>75</v>
      </c>
      <c r="AL112" s="13">
        <f t="shared" si="13"/>
        <v>5</v>
      </c>
      <c r="AM112" s="15">
        <f t="shared" si="14"/>
        <v>3000000</v>
      </c>
      <c r="AN112" s="3">
        <f t="shared" si="15"/>
        <v>8</v>
      </c>
      <c r="AO112" s="3" t="str">
        <f t="shared" si="16"/>
        <v>No</v>
      </c>
      <c r="AP112" s="17">
        <f t="shared" si="17"/>
        <v>0.14285714285714279</v>
      </c>
      <c r="AQ112" s="17">
        <f t="shared" si="18"/>
        <v>6.9044967649697586E-2</v>
      </c>
      <c r="AR112" s="17">
        <f t="shared" si="19"/>
        <v>0</v>
      </c>
      <c r="AS112" s="15">
        <f t="shared" si="20"/>
        <v>12000000</v>
      </c>
      <c r="AT112" s="17">
        <f t="shared" si="21"/>
        <v>0.65</v>
      </c>
      <c r="AU112" s="17">
        <f t="shared" si="22"/>
        <v>0.20833333333333334</v>
      </c>
      <c r="AV112" s="15">
        <f t="shared" si="23"/>
        <v>600000</v>
      </c>
      <c r="AW112" s="18">
        <f t="shared" si="24"/>
        <v>0.125</v>
      </c>
      <c r="AX112" s="27" t="str">
        <f>IF(OR(K112&lt;Outlier_Audit!$H$2,K112&gt;Outlier_Audit!$I$2),"Review","Normal")</f>
        <v>Normal</v>
      </c>
      <c r="AY112" t="str">
        <f t="shared" si="25"/>
        <v>&lt;10 years</v>
      </c>
      <c r="AZ112" t="str">
        <f>IF(AQ112="","Missing",IF(AQ112&gt;=EDA_Performance!$B$7,"High Growth",IF(AQ112&lt;=EDA_Performance!$B$5,"Low Growth","Middle")))</f>
        <v>Middle</v>
      </c>
    </row>
    <row r="113" spans="1:52">
      <c r="A113" s="12">
        <v>1614399</v>
      </c>
      <c r="B113" s="3" t="s">
        <v>65</v>
      </c>
      <c r="C113" s="3" t="s">
        <v>50</v>
      </c>
      <c r="D113" s="13">
        <v>122</v>
      </c>
      <c r="E113" s="13">
        <v>1394</v>
      </c>
      <c r="F113" s="13">
        <v>13</v>
      </c>
      <c r="G113" s="3" t="s">
        <v>97</v>
      </c>
      <c r="H113" s="13">
        <v>1963</v>
      </c>
      <c r="I113" s="13">
        <v>20</v>
      </c>
      <c r="J113" s="14">
        <v>1.5749640464782715</v>
      </c>
      <c r="K113" s="15">
        <v>11000000000</v>
      </c>
      <c r="L113" s="15">
        <v>10000000000</v>
      </c>
      <c r="M113" s="16">
        <v>40</v>
      </c>
      <c r="N113" s="13">
        <v>120</v>
      </c>
      <c r="O113" s="13">
        <v>160</v>
      </c>
      <c r="P113" s="15">
        <v>800000000</v>
      </c>
      <c r="Q113" s="15">
        <v>7000000000</v>
      </c>
      <c r="R113" s="15">
        <v>300000000</v>
      </c>
      <c r="S113" s="16">
        <v>15</v>
      </c>
      <c r="T113" s="3" t="s">
        <v>52</v>
      </c>
      <c r="U113" s="3" t="s">
        <v>52</v>
      </c>
      <c r="V113" s="3" t="s">
        <v>53</v>
      </c>
      <c r="W113" s="16">
        <v>20</v>
      </c>
      <c r="X113" s="16">
        <v>40</v>
      </c>
      <c r="Y113" s="16">
        <v>40</v>
      </c>
      <c r="Z113" s="3" t="s">
        <v>53</v>
      </c>
      <c r="AA113" s="15"/>
      <c r="AB113" s="3" t="s">
        <v>52</v>
      </c>
      <c r="AC113" s="3" t="s">
        <v>53</v>
      </c>
      <c r="AD113" s="3" t="s">
        <v>53</v>
      </c>
      <c r="AE113" s="16"/>
      <c r="AF113" s="3" t="s">
        <v>62</v>
      </c>
      <c r="AG113" s="3" t="s">
        <v>67</v>
      </c>
      <c r="AH113" s="3" t="s">
        <v>62</v>
      </c>
      <c r="AI113" s="3" t="s">
        <v>67</v>
      </c>
      <c r="AJ113" s="3" t="s">
        <v>86</v>
      </c>
      <c r="AK113" s="3" t="s">
        <v>64</v>
      </c>
      <c r="AL113" s="13">
        <f t="shared" si="13"/>
        <v>61</v>
      </c>
      <c r="AM113" s="15">
        <f t="shared" si="14"/>
        <v>0</v>
      </c>
      <c r="AN113" s="3">
        <f t="shared" si="15"/>
        <v>0</v>
      </c>
      <c r="AO113" s="3" t="str">
        <f t="shared" si="16"/>
        <v>Yes</v>
      </c>
      <c r="AP113" s="17">
        <f t="shared" si="17"/>
        <v>0.10000000000000009</v>
      </c>
      <c r="AQ113" s="17">
        <f t="shared" si="18"/>
        <v>4.8808848170151631E-2</v>
      </c>
      <c r="AR113" s="17">
        <f t="shared" si="19"/>
        <v>-0.25</v>
      </c>
      <c r="AS113" s="15">
        <f t="shared" si="20"/>
        <v>91666666.666666672</v>
      </c>
      <c r="AT113" s="17">
        <f t="shared" si="21"/>
        <v>7.2727272727272724E-2</v>
      </c>
      <c r="AU113" s="17">
        <f t="shared" si="22"/>
        <v>0.63636363636363635</v>
      </c>
      <c r="AV113" s="15">
        <f t="shared" si="23"/>
        <v>2500000</v>
      </c>
      <c r="AW113" s="18">
        <f t="shared" si="24"/>
        <v>0</v>
      </c>
      <c r="AX113" s="27" t="str">
        <f>IF(OR(K113&lt;Outlier_Audit!$H$2,K113&gt;Outlier_Audit!$I$2),"Review","Normal")</f>
        <v>Review</v>
      </c>
      <c r="AY113" t="str">
        <f t="shared" si="25"/>
        <v>30+ years</v>
      </c>
      <c r="AZ113" t="str">
        <f>IF(AQ113="","Missing",IF(AQ113&gt;=EDA_Performance!$B$7,"High Growth",IF(AQ113&lt;=EDA_Performance!$B$5,"Low Growth","Middle")))</f>
        <v>Middle</v>
      </c>
    </row>
    <row r="114" spans="1:52">
      <c r="A114" s="12">
        <v>1614402</v>
      </c>
      <c r="B114" s="3" t="s">
        <v>65</v>
      </c>
      <c r="C114" s="3" t="s">
        <v>58</v>
      </c>
      <c r="D114" s="13">
        <v>12</v>
      </c>
      <c r="E114" s="13">
        <v>1080</v>
      </c>
      <c r="F114" s="13">
        <v>10</v>
      </c>
      <c r="G114" s="3" t="s">
        <v>51</v>
      </c>
      <c r="H114" s="13">
        <v>2000</v>
      </c>
      <c r="I114" s="13">
        <v>13</v>
      </c>
      <c r="J114" s="14">
        <v>30.085899353027344</v>
      </c>
      <c r="K114" s="15">
        <v>68000000</v>
      </c>
      <c r="L114" s="15">
        <v>35000000</v>
      </c>
      <c r="M114" s="16">
        <v>90</v>
      </c>
      <c r="N114" s="13">
        <v>12</v>
      </c>
      <c r="O114" s="13">
        <v>6</v>
      </c>
      <c r="P114" s="15">
        <v>25000000</v>
      </c>
      <c r="Q114" s="15">
        <v>40000000</v>
      </c>
      <c r="R114" s="15">
        <v>80000000</v>
      </c>
      <c r="S114" s="16">
        <v>0</v>
      </c>
      <c r="T114" s="3" t="s">
        <v>60</v>
      </c>
      <c r="U114" s="3" t="s">
        <v>53</v>
      </c>
      <c r="V114" s="3" t="s">
        <v>53</v>
      </c>
      <c r="W114" s="16">
        <v>50</v>
      </c>
      <c r="X114" s="16">
        <v>0</v>
      </c>
      <c r="Y114" s="16">
        <v>50</v>
      </c>
      <c r="Z114" s="3" t="s">
        <v>53</v>
      </c>
      <c r="AA114" s="15"/>
      <c r="AB114" s="3" t="s">
        <v>53</v>
      </c>
      <c r="AC114" s="3" t="s">
        <v>53</v>
      </c>
      <c r="AD114" s="3" t="s">
        <v>52</v>
      </c>
      <c r="AE114" s="16">
        <v>2</v>
      </c>
      <c r="AF114" s="3" t="s">
        <v>54</v>
      </c>
      <c r="AG114" s="3" t="s">
        <v>62</v>
      </c>
      <c r="AH114" s="3" t="s">
        <v>62</v>
      </c>
      <c r="AI114" s="3" t="s">
        <v>62</v>
      </c>
      <c r="AJ114" s="3" t="s">
        <v>56</v>
      </c>
      <c r="AK114" s="3" t="s">
        <v>57</v>
      </c>
      <c r="AL114" s="13">
        <f t="shared" si="13"/>
        <v>24</v>
      </c>
      <c r="AM114" s="15">
        <f t="shared" si="14"/>
        <v>0</v>
      </c>
      <c r="AN114" s="3">
        <f t="shared" si="15"/>
        <v>2</v>
      </c>
      <c r="AO114" s="3" t="str">
        <f t="shared" si="16"/>
        <v>No</v>
      </c>
      <c r="AP114" s="17">
        <f t="shared" si="17"/>
        <v>0.94285714285714284</v>
      </c>
      <c r="AQ114" s="17">
        <f t="shared" si="18"/>
        <v>0.3938641048743392</v>
      </c>
      <c r="AR114" s="17">
        <f t="shared" si="19"/>
        <v>1</v>
      </c>
      <c r="AS114" s="15">
        <f t="shared" si="20"/>
        <v>5666666.666666667</v>
      </c>
      <c r="AT114" s="17">
        <f t="shared" si="21"/>
        <v>0.36764705882352944</v>
      </c>
      <c r="AU114" s="17">
        <f t="shared" si="22"/>
        <v>0.58823529411764708</v>
      </c>
      <c r="AV114" s="15">
        <f t="shared" si="23"/>
        <v>6666666.666666667</v>
      </c>
      <c r="AW114" s="18">
        <f t="shared" si="24"/>
        <v>0</v>
      </c>
      <c r="AX114" s="27" t="str">
        <f>IF(OR(K114&lt;Outlier_Audit!$H$2,K114&gt;Outlier_Audit!$I$2),"Review","Normal")</f>
        <v>Normal</v>
      </c>
      <c r="AY114" t="str">
        <f t="shared" si="25"/>
        <v>20-29 years</v>
      </c>
      <c r="AZ114" t="str">
        <f>IF(AQ114="","Missing",IF(AQ114&gt;=EDA_Performance!$B$7,"High Growth",IF(AQ114&lt;=EDA_Performance!$B$5,"Low Growth","Middle")))</f>
        <v>High Growth</v>
      </c>
    </row>
    <row r="115" spans="1:52">
      <c r="A115" s="12">
        <v>1614403</v>
      </c>
      <c r="B115" s="3" t="s">
        <v>65</v>
      </c>
      <c r="C115" s="3" t="s">
        <v>50</v>
      </c>
      <c r="D115" s="13">
        <v>12</v>
      </c>
      <c r="E115" s="13">
        <v>1920</v>
      </c>
      <c r="F115" s="13">
        <v>19</v>
      </c>
      <c r="G115" s="3" t="s">
        <v>98</v>
      </c>
      <c r="H115" s="13">
        <v>2005</v>
      </c>
      <c r="I115" s="13">
        <v>15</v>
      </c>
      <c r="J115" s="14">
        <v>1.5749640464782715</v>
      </c>
      <c r="K115" s="15">
        <v>70000000</v>
      </c>
      <c r="L115" s="15">
        <v>50000000</v>
      </c>
      <c r="M115" s="16">
        <v>100</v>
      </c>
      <c r="N115" s="13">
        <v>12</v>
      </c>
      <c r="O115" s="13">
        <v>5</v>
      </c>
      <c r="P115" s="15">
        <v>28000000</v>
      </c>
      <c r="Q115" s="15">
        <v>45000000</v>
      </c>
      <c r="R115" s="15">
        <v>50000000</v>
      </c>
      <c r="S115" s="16">
        <v>0</v>
      </c>
      <c r="T115" s="3" t="s">
        <v>60</v>
      </c>
      <c r="U115" s="3" t="s">
        <v>53</v>
      </c>
      <c r="V115" s="3" t="s">
        <v>53</v>
      </c>
      <c r="W115" s="16">
        <v>50</v>
      </c>
      <c r="X115" s="16">
        <v>0</v>
      </c>
      <c r="Y115" s="16">
        <v>40</v>
      </c>
      <c r="Z115" s="3" t="s">
        <v>53</v>
      </c>
      <c r="AA115" s="15"/>
      <c r="AB115" s="3" t="s">
        <v>53</v>
      </c>
      <c r="AC115" s="3" t="s">
        <v>53</v>
      </c>
      <c r="AD115" s="3" t="s">
        <v>52</v>
      </c>
      <c r="AE115" s="16">
        <v>2</v>
      </c>
      <c r="AF115" s="3" t="s">
        <v>62</v>
      </c>
      <c r="AG115" s="3" t="s">
        <v>62</v>
      </c>
      <c r="AH115" s="3" t="s">
        <v>67</v>
      </c>
      <c r="AI115" s="3" t="s">
        <v>62</v>
      </c>
      <c r="AJ115" s="3" t="s">
        <v>56</v>
      </c>
      <c r="AK115" s="3" t="s">
        <v>57</v>
      </c>
      <c r="AL115" s="13">
        <f t="shared" si="13"/>
        <v>19</v>
      </c>
      <c r="AM115" s="15">
        <f t="shared" si="14"/>
        <v>0</v>
      </c>
      <c r="AN115" s="3">
        <f t="shared" si="15"/>
        <v>2</v>
      </c>
      <c r="AO115" s="3" t="str">
        <f t="shared" si="16"/>
        <v>No</v>
      </c>
      <c r="AP115" s="17">
        <f t="shared" si="17"/>
        <v>0.39999999999999991</v>
      </c>
      <c r="AQ115" s="17">
        <f t="shared" si="18"/>
        <v>0.18321595661992318</v>
      </c>
      <c r="AR115" s="17">
        <f t="shared" si="19"/>
        <v>1.4</v>
      </c>
      <c r="AS115" s="15">
        <f t="shared" si="20"/>
        <v>5833333.333333333</v>
      </c>
      <c r="AT115" s="17">
        <f t="shared" si="21"/>
        <v>0.4</v>
      </c>
      <c r="AU115" s="17">
        <f t="shared" si="22"/>
        <v>0.6428571428571429</v>
      </c>
      <c r="AV115" s="15">
        <f t="shared" si="23"/>
        <v>4166666.6666666665</v>
      </c>
      <c r="AW115" s="18">
        <f t="shared" si="24"/>
        <v>0</v>
      </c>
      <c r="AX115" s="27" t="str">
        <f>IF(OR(K115&lt;Outlier_Audit!$H$2,K115&gt;Outlier_Audit!$I$2),"Review","Normal")</f>
        <v>Normal</v>
      </c>
      <c r="AY115" t="str">
        <f t="shared" si="25"/>
        <v>10-19 years</v>
      </c>
      <c r="AZ115" t="str">
        <f>IF(AQ115="","Missing",IF(AQ115&gt;=EDA_Performance!$B$7,"High Growth",IF(AQ115&lt;=EDA_Performance!$B$5,"Low Growth","Middle")))</f>
        <v>Middle</v>
      </c>
    </row>
    <row r="116" spans="1:52">
      <c r="A116" s="12">
        <v>1614406</v>
      </c>
      <c r="B116" s="3" t="s">
        <v>74</v>
      </c>
      <c r="C116" s="3" t="s">
        <v>50</v>
      </c>
      <c r="D116" s="13">
        <v>1242</v>
      </c>
      <c r="E116" s="13">
        <v>1079</v>
      </c>
      <c r="F116" s="13">
        <v>10</v>
      </c>
      <c r="G116" s="3" t="s">
        <v>51</v>
      </c>
      <c r="H116" s="13">
        <v>1960</v>
      </c>
      <c r="I116" s="13">
        <v>6</v>
      </c>
      <c r="J116" s="14">
        <v>1.3089461326599121</v>
      </c>
      <c r="K116" s="15">
        <v>27000000000</v>
      </c>
      <c r="L116" s="15">
        <v>27180000000</v>
      </c>
      <c r="M116" s="16">
        <v>77</v>
      </c>
      <c r="N116" s="13">
        <v>1384</v>
      </c>
      <c r="O116" s="13">
        <v>1711</v>
      </c>
      <c r="P116" s="15">
        <v>2988000000</v>
      </c>
      <c r="Q116" s="15">
        <v>15628496000</v>
      </c>
      <c r="R116" s="15">
        <v>50000000000</v>
      </c>
      <c r="S116" s="16">
        <v>99</v>
      </c>
      <c r="T116" s="3" t="s">
        <v>52</v>
      </c>
      <c r="U116" s="3" t="s">
        <v>53</v>
      </c>
      <c r="V116" s="3" t="s">
        <v>53</v>
      </c>
      <c r="W116" s="16">
        <v>100</v>
      </c>
      <c r="X116" s="16">
        <v>0</v>
      </c>
      <c r="Y116" s="16">
        <v>0</v>
      </c>
      <c r="Z116" s="3" t="s">
        <v>53</v>
      </c>
      <c r="AA116" s="15"/>
      <c r="AB116" s="3" t="s">
        <v>53</v>
      </c>
      <c r="AC116" s="3" t="s">
        <v>53</v>
      </c>
      <c r="AD116" s="3" t="s">
        <v>52</v>
      </c>
      <c r="AE116" s="16">
        <v>4</v>
      </c>
      <c r="AF116" s="3" t="s">
        <v>55</v>
      </c>
      <c r="AG116" s="3" t="s">
        <v>62</v>
      </c>
      <c r="AH116" s="3" t="s">
        <v>62</v>
      </c>
      <c r="AI116" s="3"/>
      <c r="AJ116" s="3" t="s">
        <v>56</v>
      </c>
      <c r="AK116" s="3" t="s">
        <v>57</v>
      </c>
      <c r="AL116" s="13">
        <f t="shared" si="13"/>
        <v>64</v>
      </c>
      <c r="AM116" s="15">
        <f t="shared" si="14"/>
        <v>0</v>
      </c>
      <c r="AN116" s="3">
        <f t="shared" si="15"/>
        <v>4</v>
      </c>
      <c r="AO116" s="3" t="str">
        <f t="shared" si="16"/>
        <v>Yes</v>
      </c>
      <c r="AP116" s="17">
        <f t="shared" si="17"/>
        <v>-6.6225165562914245E-3</v>
      </c>
      <c r="AQ116" s="17">
        <f t="shared" si="18"/>
        <v>-3.3167587223569273E-3</v>
      </c>
      <c r="AR116" s="17">
        <f t="shared" si="19"/>
        <v>-0.19111630625365283</v>
      </c>
      <c r="AS116" s="15">
        <f t="shared" si="20"/>
        <v>19508670.520231213</v>
      </c>
      <c r="AT116" s="17">
        <f t="shared" si="21"/>
        <v>0.11066666666666666</v>
      </c>
      <c r="AU116" s="17">
        <f t="shared" si="22"/>
        <v>0.57883318518518523</v>
      </c>
      <c r="AV116" s="15">
        <f t="shared" si="23"/>
        <v>36127167.630057804</v>
      </c>
      <c r="AW116" s="18">
        <f t="shared" si="24"/>
        <v>0</v>
      </c>
      <c r="AX116" s="27" t="str">
        <f>IF(OR(K116&lt;Outlier_Audit!$H$2,K116&gt;Outlier_Audit!$I$2),"Review","Normal")</f>
        <v>Review</v>
      </c>
      <c r="AY116" t="str">
        <f t="shared" si="25"/>
        <v>30+ years</v>
      </c>
      <c r="AZ116" t="str">
        <f>IF(AQ116="","Missing",IF(AQ116&gt;=EDA_Performance!$B$7,"High Growth",IF(AQ116&lt;=EDA_Performance!$B$5,"Low Growth","Middle")))</f>
        <v>Low Growth</v>
      </c>
    </row>
    <row r="117" spans="1:52">
      <c r="A117" s="12">
        <v>1614408</v>
      </c>
      <c r="B117" s="3" t="s">
        <v>65</v>
      </c>
      <c r="C117" s="3" t="s">
        <v>50</v>
      </c>
      <c r="D117" s="13">
        <v>325</v>
      </c>
      <c r="E117" s="13">
        <v>2220</v>
      </c>
      <c r="F117" s="13">
        <v>22</v>
      </c>
      <c r="G117" s="3" t="s">
        <v>96</v>
      </c>
      <c r="H117" s="13">
        <v>1992</v>
      </c>
      <c r="I117" s="13">
        <v>30</v>
      </c>
      <c r="J117" s="14">
        <v>1.5749640464782715</v>
      </c>
      <c r="K117" s="15">
        <v>830000000000</v>
      </c>
      <c r="L117" s="15">
        <v>900000000000</v>
      </c>
      <c r="M117" s="16">
        <v>95</v>
      </c>
      <c r="N117" s="13">
        <v>325</v>
      </c>
      <c r="O117" s="13">
        <v>300</v>
      </c>
      <c r="P117" s="15">
        <v>20400000000</v>
      </c>
      <c r="Q117" s="15">
        <v>500000000000</v>
      </c>
      <c r="R117" s="15">
        <v>700000000000</v>
      </c>
      <c r="S117" s="16">
        <v>50</v>
      </c>
      <c r="T117" s="3" t="s">
        <v>52</v>
      </c>
      <c r="U117" s="3" t="s">
        <v>52</v>
      </c>
      <c r="V117" s="3" t="s">
        <v>52</v>
      </c>
      <c r="W117" s="16">
        <v>70</v>
      </c>
      <c r="X117" s="16">
        <v>10</v>
      </c>
      <c r="Y117" s="16">
        <v>20</v>
      </c>
      <c r="Z117" s="3" t="s">
        <v>53</v>
      </c>
      <c r="AA117" s="15"/>
      <c r="AB117" s="3" t="s">
        <v>52</v>
      </c>
      <c r="AC117" s="3" t="s">
        <v>52</v>
      </c>
      <c r="AD117" s="3" t="s">
        <v>53</v>
      </c>
      <c r="AE117" s="16"/>
      <c r="AF117" s="3" t="s">
        <v>54</v>
      </c>
      <c r="AG117" s="3" t="s">
        <v>67</v>
      </c>
      <c r="AH117" s="3" t="s">
        <v>54</v>
      </c>
      <c r="AI117" s="3" t="s">
        <v>67</v>
      </c>
      <c r="AJ117" s="3" t="s">
        <v>56</v>
      </c>
      <c r="AK117" s="3" t="s">
        <v>57</v>
      </c>
      <c r="AL117" s="13">
        <f t="shared" si="13"/>
        <v>32</v>
      </c>
      <c r="AM117" s="15">
        <f t="shared" si="14"/>
        <v>0</v>
      </c>
      <c r="AN117" s="3">
        <f t="shared" si="15"/>
        <v>0</v>
      </c>
      <c r="AO117" s="3" t="str">
        <f t="shared" si="16"/>
        <v>Yes</v>
      </c>
      <c r="AP117" s="17">
        <f t="shared" si="17"/>
        <v>-7.7777777777777724E-2</v>
      </c>
      <c r="AQ117" s="17">
        <f t="shared" si="18"/>
        <v>-3.9675980607471018E-2</v>
      </c>
      <c r="AR117" s="17">
        <f t="shared" si="19"/>
        <v>8.3333333333333259E-2</v>
      </c>
      <c r="AS117" s="15">
        <f t="shared" si="20"/>
        <v>2553846153.8461537</v>
      </c>
      <c r="AT117" s="17">
        <f t="shared" si="21"/>
        <v>2.457831325301205E-2</v>
      </c>
      <c r="AU117" s="17">
        <f t="shared" si="22"/>
        <v>0.60240963855421692</v>
      </c>
      <c r="AV117" s="15">
        <f t="shared" si="23"/>
        <v>2153846153.8461537</v>
      </c>
      <c r="AW117" s="18">
        <f t="shared" si="24"/>
        <v>0</v>
      </c>
      <c r="AX117" s="27" t="str">
        <f>IF(OR(K117&lt;Outlier_Audit!$H$2,K117&gt;Outlier_Audit!$I$2),"Review","Normal")</f>
        <v>Review</v>
      </c>
      <c r="AY117" t="str">
        <f t="shared" si="25"/>
        <v>30+ years</v>
      </c>
      <c r="AZ117" t="str">
        <f>IF(AQ117="","Missing",IF(AQ117&gt;=EDA_Performance!$B$7,"High Growth",IF(AQ117&lt;=EDA_Performance!$B$5,"Low Growth","Middle")))</f>
        <v>Low Growth</v>
      </c>
    </row>
    <row r="118" spans="1:52">
      <c r="A118" s="12">
        <v>1614427</v>
      </c>
      <c r="B118" s="3" t="s">
        <v>74</v>
      </c>
      <c r="C118" s="3" t="s">
        <v>66</v>
      </c>
      <c r="D118" s="13">
        <v>31</v>
      </c>
      <c r="E118" s="13">
        <v>1061</v>
      </c>
      <c r="F118" s="13">
        <v>10</v>
      </c>
      <c r="G118" s="3" t="s">
        <v>51</v>
      </c>
      <c r="H118" s="13">
        <v>2005</v>
      </c>
      <c r="I118" s="13">
        <v>20</v>
      </c>
      <c r="J118" s="14">
        <v>2.6198341846466064</v>
      </c>
      <c r="K118" s="15">
        <v>371000000</v>
      </c>
      <c r="L118" s="15">
        <v>300000000</v>
      </c>
      <c r="M118" s="16">
        <v>90</v>
      </c>
      <c r="N118" s="13">
        <v>25</v>
      </c>
      <c r="O118" s="13">
        <v>25</v>
      </c>
      <c r="P118" s="15">
        <v>167400000</v>
      </c>
      <c r="Q118" s="15">
        <v>131000000</v>
      </c>
      <c r="R118" s="15">
        <v>400000000</v>
      </c>
      <c r="S118" s="16">
        <v>0</v>
      </c>
      <c r="T118" s="3" t="s">
        <v>52</v>
      </c>
      <c r="U118" s="3" t="s">
        <v>53</v>
      </c>
      <c r="V118" s="3" t="s">
        <v>53</v>
      </c>
      <c r="W118" s="16">
        <v>60</v>
      </c>
      <c r="X118" s="16">
        <v>0</v>
      </c>
      <c r="Y118" s="16">
        <v>20</v>
      </c>
      <c r="Z118" s="3" t="s">
        <v>53</v>
      </c>
      <c r="AA118" s="15"/>
      <c r="AB118" s="3" t="s">
        <v>53</v>
      </c>
      <c r="AC118" s="3" t="s">
        <v>53</v>
      </c>
      <c r="AD118" s="3" t="s">
        <v>52</v>
      </c>
      <c r="AE118" s="16">
        <v>3</v>
      </c>
      <c r="AF118" s="3" t="s">
        <v>55</v>
      </c>
      <c r="AG118" s="3" t="s">
        <v>54</v>
      </c>
      <c r="AH118" s="3" t="s">
        <v>62</v>
      </c>
      <c r="AI118" s="3" t="s">
        <v>67</v>
      </c>
      <c r="AJ118" s="3" t="s">
        <v>63</v>
      </c>
      <c r="AK118" s="3" t="s">
        <v>64</v>
      </c>
      <c r="AL118" s="13">
        <f t="shared" si="13"/>
        <v>19</v>
      </c>
      <c r="AM118" s="15">
        <f t="shared" si="14"/>
        <v>0</v>
      </c>
      <c r="AN118" s="3">
        <f t="shared" si="15"/>
        <v>3</v>
      </c>
      <c r="AO118" s="3" t="str">
        <f t="shared" si="16"/>
        <v>No</v>
      </c>
      <c r="AP118" s="17">
        <f t="shared" si="17"/>
        <v>0.23666666666666658</v>
      </c>
      <c r="AQ118" s="17">
        <f t="shared" si="18"/>
        <v>0.11205515450748504</v>
      </c>
      <c r="AR118" s="17">
        <f t="shared" si="19"/>
        <v>0</v>
      </c>
      <c r="AS118" s="15">
        <f t="shared" si="20"/>
        <v>14840000</v>
      </c>
      <c r="AT118" s="17">
        <f t="shared" si="21"/>
        <v>0.45121293800539086</v>
      </c>
      <c r="AU118" s="17">
        <f t="shared" si="22"/>
        <v>0.35309973045822102</v>
      </c>
      <c r="AV118" s="15">
        <f t="shared" si="23"/>
        <v>16000000</v>
      </c>
      <c r="AW118" s="18">
        <f t="shared" si="24"/>
        <v>0</v>
      </c>
      <c r="AX118" s="27" t="str">
        <f>IF(OR(K118&lt;Outlier_Audit!$H$2,K118&gt;Outlier_Audit!$I$2),"Review","Normal")</f>
        <v>Normal</v>
      </c>
      <c r="AY118" t="str">
        <f t="shared" si="25"/>
        <v>10-19 years</v>
      </c>
      <c r="AZ118" t="str">
        <f>IF(AQ118="","Missing",IF(AQ118&gt;=EDA_Performance!$B$7,"High Growth",IF(AQ118&lt;=EDA_Performance!$B$5,"Low Growth","Middle")))</f>
        <v>Middle</v>
      </c>
    </row>
    <row r="119" spans="1:52">
      <c r="A119" s="12">
        <v>1614428</v>
      </c>
      <c r="B119" s="3" t="s">
        <v>65</v>
      </c>
      <c r="C119" s="3" t="s">
        <v>58</v>
      </c>
      <c r="D119" s="13">
        <v>120</v>
      </c>
      <c r="E119" s="13">
        <v>2022</v>
      </c>
      <c r="F119" s="13">
        <v>20</v>
      </c>
      <c r="G119" s="3" t="s">
        <v>78</v>
      </c>
      <c r="H119" s="13">
        <v>1980</v>
      </c>
      <c r="I119" s="13">
        <v>12</v>
      </c>
      <c r="J119" s="14">
        <v>157.86737060546875</v>
      </c>
      <c r="K119" s="15">
        <v>43673000000</v>
      </c>
      <c r="L119" s="15">
        <v>36000000000</v>
      </c>
      <c r="M119" s="16">
        <v>95</v>
      </c>
      <c r="N119" s="13">
        <v>120</v>
      </c>
      <c r="O119" s="13">
        <v>100</v>
      </c>
      <c r="P119" s="15">
        <v>1100000000</v>
      </c>
      <c r="Q119" s="15"/>
      <c r="R119" s="15">
        <v>5000000000</v>
      </c>
      <c r="S119" s="16">
        <v>40</v>
      </c>
      <c r="T119" s="3" t="s">
        <v>52</v>
      </c>
      <c r="U119" s="3" t="s">
        <v>52</v>
      </c>
      <c r="V119" s="3" t="s">
        <v>53</v>
      </c>
      <c r="W119" s="16">
        <v>60</v>
      </c>
      <c r="X119" s="16">
        <v>0</v>
      </c>
      <c r="Y119" s="16">
        <v>40</v>
      </c>
      <c r="Z119" s="3" t="s">
        <v>53</v>
      </c>
      <c r="AA119" s="15"/>
      <c r="AB119" s="3" t="s">
        <v>53</v>
      </c>
      <c r="AC119" s="3" t="s">
        <v>53</v>
      </c>
      <c r="AD119" s="3" t="s">
        <v>52</v>
      </c>
      <c r="AE119" s="16">
        <v>4</v>
      </c>
      <c r="AF119" s="3" t="s">
        <v>67</v>
      </c>
      <c r="AG119" s="3" t="s">
        <v>67</v>
      </c>
      <c r="AH119" s="3" t="s">
        <v>67</v>
      </c>
      <c r="AI119" s="3" t="s">
        <v>55</v>
      </c>
      <c r="AJ119" s="3" t="s">
        <v>79</v>
      </c>
      <c r="AK119" s="3" t="s">
        <v>75</v>
      </c>
      <c r="AL119" s="13">
        <f t="shared" si="13"/>
        <v>44</v>
      </c>
      <c r="AM119" s="15">
        <f t="shared" si="14"/>
        <v>0</v>
      </c>
      <c r="AN119" s="3">
        <f t="shared" si="15"/>
        <v>4</v>
      </c>
      <c r="AO119" s="3" t="str">
        <f t="shared" si="16"/>
        <v>Yes</v>
      </c>
      <c r="AP119" s="17">
        <f t="shared" si="17"/>
        <v>0.21313888888888899</v>
      </c>
      <c r="AQ119" s="17">
        <f t="shared" si="18"/>
        <v>0.10142584357227102</v>
      </c>
      <c r="AR119" s="17">
        <f t="shared" si="19"/>
        <v>0.19999999999999996</v>
      </c>
      <c r="AS119" s="15">
        <f t="shared" si="20"/>
        <v>363941666.66666669</v>
      </c>
      <c r="AT119" s="17">
        <f t="shared" si="21"/>
        <v>2.5187186591257755E-2</v>
      </c>
      <c r="AU119" s="17" t="str">
        <f t="shared" si="22"/>
        <v/>
      </c>
      <c r="AV119" s="15">
        <f t="shared" si="23"/>
        <v>41666666.666666664</v>
      </c>
      <c r="AW119" s="18">
        <f t="shared" si="24"/>
        <v>0</v>
      </c>
      <c r="AX119" s="27" t="str">
        <f>IF(OR(K119&lt;Outlier_Audit!$H$2,K119&gt;Outlier_Audit!$I$2),"Review","Normal")</f>
        <v>Review</v>
      </c>
      <c r="AY119" t="str">
        <f t="shared" si="25"/>
        <v>30+ years</v>
      </c>
      <c r="AZ119" t="str">
        <f>IF(AQ119="","Missing",IF(AQ119&gt;=EDA_Performance!$B$7,"High Growth",IF(AQ119&lt;=EDA_Performance!$B$5,"Low Growth","Middle")))</f>
        <v>Middle</v>
      </c>
    </row>
    <row r="120" spans="1:52">
      <c r="A120" s="12">
        <v>1614432</v>
      </c>
      <c r="B120" s="3" t="s">
        <v>80</v>
      </c>
      <c r="C120" s="3" t="s">
        <v>58</v>
      </c>
      <c r="D120" s="13">
        <v>6</v>
      </c>
      <c r="E120" s="13">
        <v>1061</v>
      </c>
      <c r="F120" s="13">
        <v>10</v>
      </c>
      <c r="G120" s="3" t="s">
        <v>51</v>
      </c>
      <c r="H120" s="13">
        <v>2010</v>
      </c>
      <c r="I120" s="13">
        <v>16</v>
      </c>
      <c r="J120" s="14">
        <v>1.6450884342193604</v>
      </c>
      <c r="K120" s="15">
        <v>38300000</v>
      </c>
      <c r="L120" s="15">
        <v>35740000</v>
      </c>
      <c r="M120" s="16">
        <v>70</v>
      </c>
      <c r="N120" s="13">
        <v>3</v>
      </c>
      <c r="O120" s="13">
        <v>3</v>
      </c>
      <c r="P120" s="15">
        <v>5100000</v>
      </c>
      <c r="Q120" s="15">
        <v>11000000</v>
      </c>
      <c r="R120" s="15">
        <v>89400000</v>
      </c>
      <c r="S120" s="16">
        <v>0</v>
      </c>
      <c r="T120" s="3" t="s">
        <v>60</v>
      </c>
      <c r="U120" s="3" t="s">
        <v>53</v>
      </c>
      <c r="V120" s="3" t="s">
        <v>53</v>
      </c>
      <c r="W120" s="16">
        <v>90</v>
      </c>
      <c r="X120" s="16">
        <v>0</v>
      </c>
      <c r="Y120" s="16">
        <v>0</v>
      </c>
      <c r="Z120" s="3" t="s">
        <v>53</v>
      </c>
      <c r="AA120" s="15"/>
      <c r="AB120" s="3" t="s">
        <v>53</v>
      </c>
      <c r="AC120" s="3" t="s">
        <v>53</v>
      </c>
      <c r="AD120" s="3" t="s">
        <v>52</v>
      </c>
      <c r="AE120" s="16">
        <v>6</v>
      </c>
      <c r="AF120" s="3" t="s">
        <v>54</v>
      </c>
      <c r="AG120" s="3" t="s">
        <v>67</v>
      </c>
      <c r="AH120" s="3" t="s">
        <v>62</v>
      </c>
      <c r="AI120" s="3" t="s">
        <v>62</v>
      </c>
      <c r="AJ120" s="3" t="s">
        <v>56</v>
      </c>
      <c r="AK120" s="3" t="s">
        <v>75</v>
      </c>
      <c r="AL120" s="13">
        <f t="shared" si="13"/>
        <v>14</v>
      </c>
      <c r="AM120" s="15">
        <f t="shared" si="14"/>
        <v>0</v>
      </c>
      <c r="AN120" s="3">
        <f t="shared" si="15"/>
        <v>6</v>
      </c>
      <c r="AO120" s="3" t="str">
        <f t="shared" si="16"/>
        <v>No</v>
      </c>
      <c r="AP120" s="17">
        <f t="shared" si="17"/>
        <v>7.1628427532176797E-2</v>
      </c>
      <c r="AQ120" s="17">
        <f t="shared" si="18"/>
        <v>3.5194874181753599E-2</v>
      </c>
      <c r="AR120" s="17">
        <f t="shared" si="19"/>
        <v>0</v>
      </c>
      <c r="AS120" s="15">
        <f t="shared" si="20"/>
        <v>12766666.666666666</v>
      </c>
      <c r="AT120" s="17">
        <f t="shared" si="21"/>
        <v>0.13315926892950392</v>
      </c>
      <c r="AU120" s="17">
        <f t="shared" si="22"/>
        <v>0.28720626631853785</v>
      </c>
      <c r="AV120" s="15">
        <f t="shared" si="23"/>
        <v>29800000</v>
      </c>
      <c r="AW120" s="18">
        <f t="shared" si="24"/>
        <v>0</v>
      </c>
      <c r="AX120" s="27" t="str">
        <f>IF(OR(K120&lt;Outlier_Audit!$H$2,K120&gt;Outlier_Audit!$I$2),"Review","Normal")</f>
        <v>Normal</v>
      </c>
      <c r="AY120" t="str">
        <f t="shared" si="25"/>
        <v>10-19 years</v>
      </c>
      <c r="AZ120" t="str">
        <f>IF(AQ120="","Missing",IF(AQ120&gt;=EDA_Performance!$B$7,"High Growth",IF(AQ120&lt;=EDA_Performance!$B$5,"Low Growth","Middle")))</f>
        <v>Low Growth</v>
      </c>
    </row>
    <row r="121" spans="1:52">
      <c r="A121" s="12">
        <v>1614441</v>
      </c>
      <c r="B121" s="3" t="s">
        <v>80</v>
      </c>
      <c r="C121" s="3" t="s">
        <v>58</v>
      </c>
      <c r="D121" s="13">
        <v>22</v>
      </c>
      <c r="E121" s="13">
        <v>1061</v>
      </c>
      <c r="F121" s="13">
        <v>10</v>
      </c>
      <c r="G121" s="3" t="s">
        <v>51</v>
      </c>
      <c r="H121" s="13">
        <v>2005</v>
      </c>
      <c r="I121" s="13">
        <v>20</v>
      </c>
      <c r="J121" s="14">
        <v>1.6450884342193604</v>
      </c>
      <c r="K121" s="15">
        <v>1000000000</v>
      </c>
      <c r="L121" s="15">
        <v>800000000</v>
      </c>
      <c r="M121" s="16">
        <v>65</v>
      </c>
      <c r="N121" s="13">
        <v>22</v>
      </c>
      <c r="O121" s="13">
        <v>22</v>
      </c>
      <c r="P121" s="15">
        <v>80000000</v>
      </c>
      <c r="Q121" s="15">
        <v>30000000</v>
      </c>
      <c r="R121" s="15">
        <v>2000000000</v>
      </c>
      <c r="S121" s="16">
        <v>0</v>
      </c>
      <c r="T121" s="3" t="s">
        <v>53</v>
      </c>
      <c r="U121" s="3" t="s">
        <v>53</v>
      </c>
      <c r="V121" s="3" t="s">
        <v>53</v>
      </c>
      <c r="W121" s="16">
        <v>90</v>
      </c>
      <c r="X121" s="16">
        <v>0</v>
      </c>
      <c r="Y121" s="16">
        <v>0</v>
      </c>
      <c r="Z121" s="3" t="s">
        <v>53</v>
      </c>
      <c r="AA121" s="15"/>
      <c r="AB121" s="3" t="s">
        <v>53</v>
      </c>
      <c r="AC121" s="3" t="s">
        <v>53</v>
      </c>
      <c r="AD121" s="3" t="s">
        <v>53</v>
      </c>
      <c r="AE121" s="16"/>
      <c r="AF121" s="3" t="s">
        <v>67</v>
      </c>
      <c r="AG121" s="3" t="s">
        <v>62</v>
      </c>
      <c r="AH121" s="3" t="s">
        <v>62</v>
      </c>
      <c r="AI121" s="3" t="s">
        <v>54</v>
      </c>
      <c r="AJ121" s="3" t="s">
        <v>56</v>
      </c>
      <c r="AK121" s="3" t="s">
        <v>57</v>
      </c>
      <c r="AL121" s="13">
        <f t="shared" si="13"/>
        <v>19</v>
      </c>
      <c r="AM121" s="15">
        <f t="shared" si="14"/>
        <v>0</v>
      </c>
      <c r="AN121" s="3">
        <f t="shared" si="15"/>
        <v>0</v>
      </c>
      <c r="AO121" s="3" t="str">
        <f t="shared" si="16"/>
        <v>No</v>
      </c>
      <c r="AP121" s="17">
        <f t="shared" si="17"/>
        <v>0.25</v>
      </c>
      <c r="AQ121" s="17">
        <f t="shared" si="18"/>
        <v>0.1180339887498949</v>
      </c>
      <c r="AR121" s="17">
        <f t="shared" si="19"/>
        <v>0</v>
      </c>
      <c r="AS121" s="15">
        <f t="shared" si="20"/>
        <v>45454545.454545453</v>
      </c>
      <c r="AT121" s="17">
        <f t="shared" si="21"/>
        <v>0.08</v>
      </c>
      <c r="AU121" s="17">
        <f t="shared" si="22"/>
        <v>0.03</v>
      </c>
      <c r="AV121" s="15">
        <f t="shared" si="23"/>
        <v>90909090.909090906</v>
      </c>
      <c r="AW121" s="18">
        <f t="shared" si="24"/>
        <v>0</v>
      </c>
      <c r="AX121" s="27" t="str">
        <f>IF(OR(K121&lt;Outlier_Audit!$H$2,K121&gt;Outlier_Audit!$I$2),"Review","Normal")</f>
        <v>Normal</v>
      </c>
      <c r="AY121" t="str">
        <f t="shared" si="25"/>
        <v>10-19 years</v>
      </c>
      <c r="AZ121" t="str">
        <f>IF(AQ121="","Missing",IF(AQ121&gt;=EDA_Performance!$B$7,"High Growth",IF(AQ121&lt;=EDA_Performance!$B$5,"Low Growth","Middle")))</f>
        <v>Middle</v>
      </c>
    </row>
    <row r="122" spans="1:52">
      <c r="A122" s="12">
        <v>1614444</v>
      </c>
      <c r="B122" s="3" t="s">
        <v>65</v>
      </c>
      <c r="C122" s="3" t="s">
        <v>58</v>
      </c>
      <c r="D122" s="13">
        <v>6</v>
      </c>
      <c r="E122" s="13">
        <v>1410</v>
      </c>
      <c r="F122" s="13">
        <v>14</v>
      </c>
      <c r="G122" s="3" t="s">
        <v>59</v>
      </c>
      <c r="H122" s="13">
        <v>2016</v>
      </c>
      <c r="I122" s="13">
        <v>1</v>
      </c>
      <c r="J122" s="14">
        <v>259.94696044921875</v>
      </c>
      <c r="K122" s="15">
        <v>30000000</v>
      </c>
      <c r="L122" s="15">
        <v>15000000</v>
      </c>
      <c r="M122" s="16">
        <v>60</v>
      </c>
      <c r="N122" s="13">
        <v>3</v>
      </c>
      <c r="O122" s="13">
        <v>2</v>
      </c>
      <c r="P122" s="15">
        <v>12000000</v>
      </c>
      <c r="Q122" s="15">
        <v>2500000</v>
      </c>
      <c r="R122" s="15">
        <v>40000000</v>
      </c>
      <c r="S122" s="16">
        <v>0</v>
      </c>
      <c r="T122" s="3" t="s">
        <v>60</v>
      </c>
      <c r="U122" s="3" t="s">
        <v>53</v>
      </c>
      <c r="V122" s="3" t="s">
        <v>53</v>
      </c>
      <c r="W122" s="16">
        <v>100</v>
      </c>
      <c r="X122" s="16">
        <v>0</v>
      </c>
      <c r="Y122" s="16">
        <v>0</v>
      </c>
      <c r="Z122" s="3" t="s">
        <v>53</v>
      </c>
      <c r="AA122" s="15"/>
      <c r="AB122" s="3" t="s">
        <v>53</v>
      </c>
      <c r="AC122" s="3" t="s">
        <v>53</v>
      </c>
      <c r="AD122" s="3" t="s">
        <v>53</v>
      </c>
      <c r="AE122" s="16"/>
      <c r="AF122" s="3" t="s">
        <v>67</v>
      </c>
      <c r="AG122" s="3" t="s">
        <v>67</v>
      </c>
      <c r="AH122" s="3" t="s">
        <v>62</v>
      </c>
      <c r="AI122" s="3" t="s">
        <v>54</v>
      </c>
      <c r="AJ122" s="3" t="s">
        <v>79</v>
      </c>
      <c r="AK122" s="3" t="s">
        <v>57</v>
      </c>
      <c r="AL122" s="13">
        <f t="shared" si="13"/>
        <v>8</v>
      </c>
      <c r="AM122" s="15">
        <f t="shared" si="14"/>
        <v>0</v>
      </c>
      <c r="AN122" s="3">
        <f t="shared" si="15"/>
        <v>0</v>
      </c>
      <c r="AO122" s="3" t="str">
        <f t="shared" si="16"/>
        <v>No</v>
      </c>
      <c r="AP122" s="17">
        <f t="shared" si="17"/>
        <v>1</v>
      </c>
      <c r="AQ122" s="17">
        <f t="shared" si="18"/>
        <v>0.41421356237309515</v>
      </c>
      <c r="AR122" s="17">
        <f t="shared" si="19"/>
        <v>0.5</v>
      </c>
      <c r="AS122" s="15">
        <f t="shared" si="20"/>
        <v>10000000</v>
      </c>
      <c r="AT122" s="17">
        <f t="shared" si="21"/>
        <v>0.4</v>
      </c>
      <c r="AU122" s="17">
        <f t="shared" si="22"/>
        <v>8.3333333333333329E-2</v>
      </c>
      <c r="AV122" s="15">
        <f t="shared" si="23"/>
        <v>13333333.333333334</v>
      </c>
      <c r="AW122" s="18">
        <f t="shared" si="24"/>
        <v>0</v>
      </c>
      <c r="AX122" s="27" t="str">
        <f>IF(OR(K122&lt;Outlier_Audit!$H$2,K122&gt;Outlier_Audit!$I$2),"Review","Normal")</f>
        <v>Normal</v>
      </c>
      <c r="AY122" t="str">
        <f t="shared" si="25"/>
        <v>&lt;10 years</v>
      </c>
      <c r="AZ122" t="str">
        <f>IF(AQ122="","Missing",IF(AQ122&gt;=EDA_Performance!$B$7,"High Growth",IF(AQ122&lt;=EDA_Performance!$B$5,"Low Growth","Middle")))</f>
        <v>High Growth</v>
      </c>
    </row>
    <row r="123" spans="1:52">
      <c r="A123" s="12">
        <v>1614446</v>
      </c>
      <c r="B123" s="3" t="s">
        <v>74</v>
      </c>
      <c r="C123" s="3" t="s">
        <v>66</v>
      </c>
      <c r="D123" s="13">
        <v>152</v>
      </c>
      <c r="E123" s="13">
        <v>1079</v>
      </c>
      <c r="F123" s="13">
        <v>10</v>
      </c>
      <c r="G123" s="3" t="s">
        <v>51</v>
      </c>
      <c r="H123" s="13">
        <v>2011</v>
      </c>
      <c r="I123" s="13">
        <v>60</v>
      </c>
      <c r="J123" s="14">
        <v>1.6504706144332886</v>
      </c>
      <c r="K123" s="15">
        <v>3660000000</v>
      </c>
      <c r="L123" s="15">
        <v>13000000000</v>
      </c>
      <c r="M123" s="16">
        <v>20</v>
      </c>
      <c r="N123" s="13">
        <v>45</v>
      </c>
      <c r="O123" s="13">
        <v>54</v>
      </c>
      <c r="P123" s="15">
        <v>800000000</v>
      </c>
      <c r="Q123" s="15">
        <v>700000000</v>
      </c>
      <c r="R123" s="15">
        <v>4500000000</v>
      </c>
      <c r="S123" s="16">
        <v>0</v>
      </c>
      <c r="T123" s="3" t="s">
        <v>53</v>
      </c>
      <c r="U123" s="3" t="s">
        <v>53</v>
      </c>
      <c r="V123" s="3" t="s">
        <v>52</v>
      </c>
      <c r="W123" s="16">
        <v>0</v>
      </c>
      <c r="X123" s="16">
        <v>30</v>
      </c>
      <c r="Y123" s="16">
        <v>0</v>
      </c>
      <c r="Z123" s="3" t="s">
        <v>53</v>
      </c>
      <c r="AA123" s="15"/>
      <c r="AB123" s="3" t="s">
        <v>52</v>
      </c>
      <c r="AC123" s="3" t="s">
        <v>53</v>
      </c>
      <c r="AD123" s="3" t="s">
        <v>52</v>
      </c>
      <c r="AE123" s="16">
        <v>8</v>
      </c>
      <c r="AF123" s="3" t="s">
        <v>55</v>
      </c>
      <c r="AG123" s="3" t="s">
        <v>55</v>
      </c>
      <c r="AH123" s="3" t="s">
        <v>67</v>
      </c>
      <c r="AI123" s="3" t="s">
        <v>54</v>
      </c>
      <c r="AJ123" s="3" t="s">
        <v>56</v>
      </c>
      <c r="AK123" s="3" t="s">
        <v>57</v>
      </c>
      <c r="AL123" s="13">
        <f t="shared" si="13"/>
        <v>13</v>
      </c>
      <c r="AM123" s="15">
        <f t="shared" si="14"/>
        <v>0</v>
      </c>
      <c r="AN123" s="3">
        <f t="shared" si="15"/>
        <v>8</v>
      </c>
      <c r="AO123" s="3" t="str">
        <f t="shared" si="16"/>
        <v>No</v>
      </c>
      <c r="AP123" s="17">
        <f t="shared" si="17"/>
        <v>-0.71846153846153848</v>
      </c>
      <c r="AQ123" s="17">
        <f t="shared" si="18"/>
        <v>-0.46939801966213746</v>
      </c>
      <c r="AR123" s="17">
        <f t="shared" si="19"/>
        <v>-0.16666666666666663</v>
      </c>
      <c r="AS123" s="15">
        <f t="shared" si="20"/>
        <v>81333333.333333328</v>
      </c>
      <c r="AT123" s="17">
        <f t="shared" si="21"/>
        <v>0.21857923497267759</v>
      </c>
      <c r="AU123" s="17">
        <f t="shared" si="22"/>
        <v>0.19125683060109289</v>
      </c>
      <c r="AV123" s="15">
        <f t="shared" si="23"/>
        <v>100000000</v>
      </c>
      <c r="AW123" s="18">
        <f t="shared" si="24"/>
        <v>0</v>
      </c>
      <c r="AX123" s="27" t="str">
        <f>IF(OR(K123&lt;Outlier_Audit!$H$2,K123&gt;Outlier_Audit!$I$2),"Review","Normal")</f>
        <v>Normal</v>
      </c>
      <c r="AY123" t="str">
        <f t="shared" si="25"/>
        <v>10-19 years</v>
      </c>
      <c r="AZ123" t="str">
        <f>IF(AQ123="","Missing",IF(AQ123&gt;=EDA_Performance!$B$7,"High Growth",IF(AQ123&lt;=EDA_Performance!$B$5,"Low Growth","Middle")))</f>
        <v>Low Growth</v>
      </c>
    </row>
    <row r="124" spans="1:52">
      <c r="A124" s="12">
        <v>1614447</v>
      </c>
      <c r="B124" s="3" t="s">
        <v>49</v>
      </c>
      <c r="C124" s="3" t="s">
        <v>66</v>
      </c>
      <c r="D124" s="13">
        <v>12</v>
      </c>
      <c r="E124" s="13">
        <v>1061</v>
      </c>
      <c r="F124" s="13">
        <v>10</v>
      </c>
      <c r="G124" s="3" t="s">
        <v>51</v>
      </c>
      <c r="H124" s="13">
        <v>2014</v>
      </c>
      <c r="I124" s="13">
        <v>11</v>
      </c>
      <c r="J124" s="14">
        <v>1.6103764772415161</v>
      </c>
      <c r="K124" s="15">
        <v>120000000</v>
      </c>
      <c r="L124" s="15">
        <v>100000000</v>
      </c>
      <c r="M124" s="16">
        <v>90</v>
      </c>
      <c r="N124" s="13">
        <v>12</v>
      </c>
      <c r="O124" s="13">
        <v>20</v>
      </c>
      <c r="P124" s="15">
        <v>18000000</v>
      </c>
      <c r="Q124" s="15">
        <v>40000000</v>
      </c>
      <c r="R124" s="15">
        <v>170000000</v>
      </c>
      <c r="S124" s="16">
        <v>0</v>
      </c>
      <c r="T124" s="3" t="s">
        <v>60</v>
      </c>
      <c r="U124" s="3" t="s">
        <v>53</v>
      </c>
      <c r="V124" s="3" t="s">
        <v>53</v>
      </c>
      <c r="W124" s="16">
        <v>60</v>
      </c>
      <c r="X124" s="16">
        <v>20</v>
      </c>
      <c r="Y124" s="16">
        <v>0</v>
      </c>
      <c r="Z124" s="3" t="s">
        <v>53</v>
      </c>
      <c r="AA124" s="15"/>
      <c r="AB124" s="3" t="s">
        <v>53</v>
      </c>
      <c r="AC124" s="3" t="s">
        <v>52</v>
      </c>
      <c r="AD124" s="3" t="s">
        <v>52</v>
      </c>
      <c r="AE124" s="16">
        <v>10</v>
      </c>
      <c r="AF124" s="3" t="s">
        <v>61</v>
      </c>
      <c r="AG124" s="3" t="s">
        <v>55</v>
      </c>
      <c r="AH124" s="3" t="s">
        <v>61</v>
      </c>
      <c r="AI124" s="3" t="s">
        <v>54</v>
      </c>
      <c r="AJ124" s="3" t="s">
        <v>63</v>
      </c>
      <c r="AK124" s="3" t="s">
        <v>64</v>
      </c>
      <c r="AL124" s="13">
        <f t="shared" si="13"/>
        <v>10</v>
      </c>
      <c r="AM124" s="15">
        <f t="shared" si="14"/>
        <v>0</v>
      </c>
      <c r="AN124" s="3">
        <f t="shared" si="15"/>
        <v>10</v>
      </c>
      <c r="AO124" s="3" t="str">
        <f t="shared" si="16"/>
        <v>No</v>
      </c>
      <c r="AP124" s="17">
        <f t="shared" si="17"/>
        <v>0.19999999999999996</v>
      </c>
      <c r="AQ124" s="17">
        <f t="shared" si="18"/>
        <v>9.5445115010332149E-2</v>
      </c>
      <c r="AR124" s="17">
        <f t="shared" si="19"/>
        <v>-0.4</v>
      </c>
      <c r="AS124" s="15">
        <f t="shared" si="20"/>
        <v>10000000</v>
      </c>
      <c r="AT124" s="17">
        <f t="shared" si="21"/>
        <v>0.15</v>
      </c>
      <c r="AU124" s="17">
        <f t="shared" si="22"/>
        <v>0.33333333333333331</v>
      </c>
      <c r="AV124" s="15">
        <f t="shared" si="23"/>
        <v>14166666.666666666</v>
      </c>
      <c r="AW124" s="18">
        <f t="shared" si="24"/>
        <v>0</v>
      </c>
      <c r="AX124" s="27" t="str">
        <f>IF(OR(K124&lt;Outlier_Audit!$H$2,K124&gt;Outlier_Audit!$I$2),"Review","Normal")</f>
        <v>Normal</v>
      </c>
      <c r="AY124" t="str">
        <f t="shared" si="25"/>
        <v>10-19 years</v>
      </c>
      <c r="AZ124" t="str">
        <f>IF(AQ124="","Missing",IF(AQ124&gt;=EDA_Performance!$B$7,"High Growth",IF(AQ124&lt;=EDA_Performance!$B$5,"Low Growth","Middle")))</f>
        <v>Middle</v>
      </c>
    </row>
    <row r="125" spans="1:52">
      <c r="A125" s="12">
        <v>1614451</v>
      </c>
      <c r="B125" s="3" t="s">
        <v>80</v>
      </c>
      <c r="C125" s="3" t="s">
        <v>58</v>
      </c>
      <c r="D125" s="13">
        <v>7</v>
      </c>
      <c r="E125" s="13">
        <v>2511</v>
      </c>
      <c r="F125" s="13">
        <v>25</v>
      </c>
      <c r="G125" s="3" t="s">
        <v>76</v>
      </c>
      <c r="H125" s="13">
        <v>2011</v>
      </c>
      <c r="I125" s="13">
        <v>17</v>
      </c>
      <c r="J125" s="14">
        <v>43.730415344238281</v>
      </c>
      <c r="K125" s="15">
        <v>50330000</v>
      </c>
      <c r="L125" s="15">
        <v>43180000</v>
      </c>
      <c r="M125" s="16">
        <v>45</v>
      </c>
      <c r="N125" s="13">
        <v>4</v>
      </c>
      <c r="O125" s="13">
        <v>4</v>
      </c>
      <c r="P125" s="15">
        <v>7420000</v>
      </c>
      <c r="Q125" s="15">
        <v>10210000</v>
      </c>
      <c r="R125" s="15">
        <v>163470000</v>
      </c>
      <c r="S125" s="16">
        <v>0</v>
      </c>
      <c r="T125" s="3" t="s">
        <v>60</v>
      </c>
      <c r="U125" s="3" t="s">
        <v>53</v>
      </c>
      <c r="V125" s="3" t="s">
        <v>53</v>
      </c>
      <c r="W125" s="16">
        <v>60</v>
      </c>
      <c r="X125" s="16">
        <v>0</v>
      </c>
      <c r="Y125" s="16">
        <v>20</v>
      </c>
      <c r="Z125" s="3" t="s">
        <v>53</v>
      </c>
      <c r="AA125" s="15"/>
      <c r="AB125" s="3" t="s">
        <v>53</v>
      </c>
      <c r="AC125" s="3" t="s">
        <v>53</v>
      </c>
      <c r="AD125" s="3" t="s">
        <v>52</v>
      </c>
      <c r="AE125" s="16">
        <v>8</v>
      </c>
      <c r="AF125" s="3" t="s">
        <v>55</v>
      </c>
      <c r="AG125" s="3" t="s">
        <v>67</v>
      </c>
      <c r="AH125" s="3" t="s">
        <v>62</v>
      </c>
      <c r="AI125" s="3" t="s">
        <v>67</v>
      </c>
      <c r="AJ125" s="3" t="s">
        <v>63</v>
      </c>
      <c r="AK125" s="3" t="s">
        <v>75</v>
      </c>
      <c r="AL125" s="13">
        <f t="shared" si="13"/>
        <v>13</v>
      </c>
      <c r="AM125" s="15">
        <f t="shared" si="14"/>
        <v>0</v>
      </c>
      <c r="AN125" s="3">
        <f t="shared" si="15"/>
        <v>8</v>
      </c>
      <c r="AO125" s="3" t="str">
        <f t="shared" si="16"/>
        <v>No</v>
      </c>
      <c r="AP125" s="17">
        <f t="shared" si="17"/>
        <v>0.16558591940713296</v>
      </c>
      <c r="AQ125" s="17">
        <f t="shared" si="18"/>
        <v>7.9623045051898211E-2</v>
      </c>
      <c r="AR125" s="17">
        <f t="shared" si="19"/>
        <v>0</v>
      </c>
      <c r="AS125" s="15">
        <f t="shared" si="20"/>
        <v>12582500</v>
      </c>
      <c r="AT125" s="17">
        <f t="shared" si="21"/>
        <v>0.1474269819193324</v>
      </c>
      <c r="AU125" s="17">
        <f t="shared" si="22"/>
        <v>0.20286111663024042</v>
      </c>
      <c r="AV125" s="15">
        <f t="shared" si="23"/>
        <v>40867500</v>
      </c>
      <c r="AW125" s="18">
        <f t="shared" si="24"/>
        <v>0</v>
      </c>
      <c r="AX125" s="27" t="str">
        <f>IF(OR(K125&lt;Outlier_Audit!$H$2,K125&gt;Outlier_Audit!$I$2),"Review","Normal")</f>
        <v>Normal</v>
      </c>
      <c r="AY125" t="str">
        <f t="shared" si="25"/>
        <v>10-19 years</v>
      </c>
      <c r="AZ125" t="str">
        <f>IF(AQ125="","Missing",IF(AQ125&gt;=EDA_Performance!$B$7,"High Growth",IF(AQ125&lt;=EDA_Performance!$B$5,"Low Growth","Middle")))</f>
        <v>Middle</v>
      </c>
    </row>
    <row r="126" spans="1:52">
      <c r="A126" s="12">
        <v>1614452</v>
      </c>
      <c r="B126" s="3" t="s">
        <v>65</v>
      </c>
      <c r="C126" s="3" t="s">
        <v>50</v>
      </c>
      <c r="D126" s="13">
        <v>500</v>
      </c>
      <c r="E126" s="13">
        <v>2821</v>
      </c>
      <c r="F126" s="13">
        <v>28</v>
      </c>
      <c r="G126" s="3" t="s">
        <v>84</v>
      </c>
      <c r="H126" s="13">
        <v>1983</v>
      </c>
      <c r="I126" s="13">
        <v>30</v>
      </c>
      <c r="J126" s="14">
        <v>1.5749640464782715</v>
      </c>
      <c r="K126" s="15">
        <v>400000000000</v>
      </c>
      <c r="L126" s="15">
        <v>300000000000</v>
      </c>
      <c r="M126" s="16">
        <v>45</v>
      </c>
      <c r="N126" s="13">
        <v>400</v>
      </c>
      <c r="O126" s="13">
        <v>100</v>
      </c>
      <c r="P126" s="15">
        <v>10000000000</v>
      </c>
      <c r="Q126" s="15">
        <v>12000000000</v>
      </c>
      <c r="R126" s="15">
        <v>15000000000</v>
      </c>
      <c r="S126" s="16">
        <v>0</v>
      </c>
      <c r="T126" s="3" t="s">
        <v>53</v>
      </c>
      <c r="U126" s="3" t="s">
        <v>53</v>
      </c>
      <c r="V126" s="3" t="s">
        <v>53</v>
      </c>
      <c r="W126" s="16">
        <v>100</v>
      </c>
      <c r="X126" s="16">
        <v>0</v>
      </c>
      <c r="Y126" s="16">
        <v>0</v>
      </c>
      <c r="Z126" s="3" t="s">
        <v>53</v>
      </c>
      <c r="AA126" s="15"/>
      <c r="AB126" s="3"/>
      <c r="AC126" s="3" t="s">
        <v>53</v>
      </c>
      <c r="AD126" s="3" t="s">
        <v>53</v>
      </c>
      <c r="AE126" s="16"/>
      <c r="AF126" s="3" t="s">
        <v>62</v>
      </c>
      <c r="AG126" s="3" t="s">
        <v>62</v>
      </c>
      <c r="AH126" s="3" t="s">
        <v>67</v>
      </c>
      <c r="AI126" s="3" t="s">
        <v>62</v>
      </c>
      <c r="AJ126" s="3" t="s">
        <v>87</v>
      </c>
      <c r="AK126" s="3" t="s">
        <v>75</v>
      </c>
      <c r="AL126" s="13">
        <f t="shared" si="13"/>
        <v>41</v>
      </c>
      <c r="AM126" s="15">
        <f t="shared" si="14"/>
        <v>0</v>
      </c>
      <c r="AN126" s="3">
        <f t="shared" si="15"/>
        <v>0</v>
      </c>
      <c r="AO126" s="3" t="str">
        <f t="shared" si="16"/>
        <v>No</v>
      </c>
      <c r="AP126" s="17">
        <f t="shared" si="17"/>
        <v>0.33333333333333326</v>
      </c>
      <c r="AQ126" s="17">
        <f t="shared" si="18"/>
        <v>0.15470053837925146</v>
      </c>
      <c r="AR126" s="17">
        <f t="shared" si="19"/>
        <v>3</v>
      </c>
      <c r="AS126" s="15">
        <f t="shared" si="20"/>
        <v>1000000000</v>
      </c>
      <c r="AT126" s="17">
        <f t="shared" si="21"/>
        <v>2.5000000000000001E-2</v>
      </c>
      <c r="AU126" s="17">
        <f t="shared" si="22"/>
        <v>0.03</v>
      </c>
      <c r="AV126" s="15">
        <f t="shared" si="23"/>
        <v>37500000</v>
      </c>
      <c r="AW126" s="18">
        <f t="shared" si="24"/>
        <v>0</v>
      </c>
      <c r="AX126" s="27" t="str">
        <f>IF(OR(K126&lt;Outlier_Audit!$H$2,K126&gt;Outlier_Audit!$I$2),"Review","Normal")</f>
        <v>Review</v>
      </c>
      <c r="AY126" t="str">
        <f t="shared" si="25"/>
        <v>30+ years</v>
      </c>
      <c r="AZ126" t="str">
        <f>IF(AQ126="","Missing",IF(AQ126&gt;=EDA_Performance!$B$7,"High Growth",IF(AQ126&lt;=EDA_Performance!$B$5,"Low Growth","Middle")))</f>
        <v>Middle</v>
      </c>
    </row>
    <row r="127" spans="1:52">
      <c r="A127" s="12">
        <v>1614456</v>
      </c>
      <c r="B127" s="3" t="s">
        <v>49</v>
      </c>
      <c r="C127" s="3" t="s">
        <v>66</v>
      </c>
      <c r="D127" s="13">
        <v>8</v>
      </c>
      <c r="E127" s="13">
        <v>2511</v>
      </c>
      <c r="F127" s="13">
        <v>25</v>
      </c>
      <c r="G127" s="3" t="s">
        <v>76</v>
      </c>
      <c r="H127" s="13">
        <v>2016</v>
      </c>
      <c r="I127" s="13">
        <v>10</v>
      </c>
      <c r="J127" s="14">
        <v>1.6637996435165405</v>
      </c>
      <c r="K127" s="15">
        <v>74700000</v>
      </c>
      <c r="L127" s="15">
        <v>51260000</v>
      </c>
      <c r="M127" s="16">
        <v>30</v>
      </c>
      <c r="N127" s="13">
        <v>4</v>
      </c>
      <c r="O127" s="13">
        <v>4</v>
      </c>
      <c r="P127" s="15">
        <v>10200000</v>
      </c>
      <c r="Q127" s="15">
        <v>15000000</v>
      </c>
      <c r="R127" s="15">
        <v>182000000</v>
      </c>
      <c r="S127" s="16">
        <v>0</v>
      </c>
      <c r="T127" s="3" t="s">
        <v>60</v>
      </c>
      <c r="U127" s="3" t="s">
        <v>53</v>
      </c>
      <c r="V127" s="3" t="s">
        <v>53</v>
      </c>
      <c r="W127" s="16">
        <v>90</v>
      </c>
      <c r="X127" s="16">
        <v>0</v>
      </c>
      <c r="Y127" s="16">
        <v>0</v>
      </c>
      <c r="Z127" s="3" t="s">
        <v>53</v>
      </c>
      <c r="AA127" s="15"/>
      <c r="AB127" s="3" t="s">
        <v>53</v>
      </c>
      <c r="AC127" s="3" t="s">
        <v>52</v>
      </c>
      <c r="AD127" s="3" t="s">
        <v>52</v>
      </c>
      <c r="AE127" s="16">
        <v>5</v>
      </c>
      <c r="AF127" s="3" t="s">
        <v>54</v>
      </c>
      <c r="AG127" s="3" t="s">
        <v>61</v>
      </c>
      <c r="AH127" s="3" t="s">
        <v>62</v>
      </c>
      <c r="AI127" s="3" t="s">
        <v>62</v>
      </c>
      <c r="AJ127" s="3" t="s">
        <v>70</v>
      </c>
      <c r="AK127" s="3" t="s">
        <v>75</v>
      </c>
      <c r="AL127" s="13">
        <f t="shared" si="13"/>
        <v>8</v>
      </c>
      <c r="AM127" s="15">
        <f t="shared" si="14"/>
        <v>0</v>
      </c>
      <c r="AN127" s="3">
        <f t="shared" si="15"/>
        <v>5</v>
      </c>
      <c r="AO127" s="3" t="str">
        <f t="shared" si="16"/>
        <v>No</v>
      </c>
      <c r="AP127" s="17">
        <f t="shared" si="17"/>
        <v>0.45727662895044863</v>
      </c>
      <c r="AQ127" s="17">
        <f t="shared" si="18"/>
        <v>0.20717713238383073</v>
      </c>
      <c r="AR127" s="17">
        <f t="shared" si="19"/>
        <v>0</v>
      </c>
      <c r="AS127" s="15">
        <f t="shared" si="20"/>
        <v>18675000</v>
      </c>
      <c r="AT127" s="17">
        <f t="shared" si="21"/>
        <v>0.13654618473895583</v>
      </c>
      <c r="AU127" s="17">
        <f t="shared" si="22"/>
        <v>0.20080321285140562</v>
      </c>
      <c r="AV127" s="15">
        <f t="shared" si="23"/>
        <v>45500000</v>
      </c>
      <c r="AW127" s="18">
        <f t="shared" si="24"/>
        <v>0</v>
      </c>
      <c r="AX127" s="27" t="str">
        <f>IF(OR(K127&lt;Outlier_Audit!$H$2,K127&gt;Outlier_Audit!$I$2),"Review","Normal")</f>
        <v>Normal</v>
      </c>
      <c r="AY127" t="str">
        <f t="shared" si="25"/>
        <v>&lt;10 years</v>
      </c>
      <c r="AZ127" t="str">
        <f>IF(AQ127="","Missing",IF(AQ127&gt;=EDA_Performance!$B$7,"High Growth",IF(AQ127&lt;=EDA_Performance!$B$5,"Low Growth","Middle")))</f>
        <v>Middle</v>
      </c>
    </row>
    <row r="128" spans="1:52">
      <c r="A128" s="12">
        <v>1614457</v>
      </c>
      <c r="B128" s="3" t="s">
        <v>65</v>
      </c>
      <c r="C128" s="3" t="s">
        <v>50</v>
      </c>
      <c r="D128" s="13">
        <v>100</v>
      </c>
      <c r="E128" s="13">
        <v>1104</v>
      </c>
      <c r="F128" s="13">
        <v>11</v>
      </c>
      <c r="G128" s="3" t="s">
        <v>89</v>
      </c>
      <c r="H128" s="13">
        <v>1950</v>
      </c>
      <c r="I128" s="13">
        <v>30</v>
      </c>
      <c r="J128" s="14">
        <v>1.5749640464782715</v>
      </c>
      <c r="K128" s="15">
        <v>15000000000</v>
      </c>
      <c r="L128" s="15">
        <v>10000000000</v>
      </c>
      <c r="M128" s="16">
        <v>100</v>
      </c>
      <c r="N128" s="13">
        <v>100</v>
      </c>
      <c r="O128" s="13">
        <v>40</v>
      </c>
      <c r="P128" s="15">
        <v>500000000</v>
      </c>
      <c r="Q128" s="15">
        <v>800000000</v>
      </c>
      <c r="R128" s="15">
        <v>20000000000</v>
      </c>
      <c r="S128" s="16">
        <v>0</v>
      </c>
      <c r="T128" s="3" t="s">
        <v>52</v>
      </c>
      <c r="U128" s="3" t="s">
        <v>53</v>
      </c>
      <c r="V128" s="3" t="s">
        <v>53</v>
      </c>
      <c r="W128" s="16">
        <v>50</v>
      </c>
      <c r="X128" s="16">
        <v>0</v>
      </c>
      <c r="Y128" s="16">
        <v>50</v>
      </c>
      <c r="Z128" s="3" t="s">
        <v>53</v>
      </c>
      <c r="AA128" s="15"/>
      <c r="AB128" s="3" t="s">
        <v>53</v>
      </c>
      <c r="AC128" s="3" t="s">
        <v>53</v>
      </c>
      <c r="AD128" s="3" t="s">
        <v>53</v>
      </c>
      <c r="AE128" s="16"/>
      <c r="AF128" s="3" t="s">
        <v>67</v>
      </c>
      <c r="AG128" s="3" t="s">
        <v>62</v>
      </c>
      <c r="AH128" s="3" t="s">
        <v>62</v>
      </c>
      <c r="AI128" s="3" t="s">
        <v>67</v>
      </c>
      <c r="AJ128" s="3" t="s">
        <v>56</v>
      </c>
      <c r="AK128" s="3" t="s">
        <v>57</v>
      </c>
      <c r="AL128" s="13">
        <f t="shared" si="13"/>
        <v>74</v>
      </c>
      <c r="AM128" s="15">
        <f t="shared" si="14"/>
        <v>0</v>
      </c>
      <c r="AN128" s="3">
        <f t="shared" si="15"/>
        <v>0</v>
      </c>
      <c r="AO128" s="3" t="str">
        <f t="shared" si="16"/>
        <v>No</v>
      </c>
      <c r="AP128" s="17">
        <f t="shared" si="17"/>
        <v>0.5</v>
      </c>
      <c r="AQ128" s="17">
        <f t="shared" si="18"/>
        <v>0.22474487139158894</v>
      </c>
      <c r="AR128" s="17">
        <f t="shared" si="19"/>
        <v>1.5</v>
      </c>
      <c r="AS128" s="15">
        <f t="shared" si="20"/>
        <v>150000000</v>
      </c>
      <c r="AT128" s="17">
        <f t="shared" si="21"/>
        <v>3.3333333333333333E-2</v>
      </c>
      <c r="AU128" s="17">
        <f t="shared" si="22"/>
        <v>5.3333333333333337E-2</v>
      </c>
      <c r="AV128" s="15">
        <f t="shared" si="23"/>
        <v>200000000</v>
      </c>
      <c r="AW128" s="18">
        <f t="shared" si="24"/>
        <v>0</v>
      </c>
      <c r="AX128" s="27" t="str">
        <f>IF(OR(K128&lt;Outlier_Audit!$H$2,K128&gt;Outlier_Audit!$I$2),"Review","Normal")</f>
        <v>Review</v>
      </c>
      <c r="AY128" t="str">
        <f t="shared" si="25"/>
        <v>30+ years</v>
      </c>
      <c r="AZ128" t="str">
        <f>IF(AQ128="","Missing",IF(AQ128&gt;=EDA_Performance!$B$7,"High Growth",IF(AQ128&lt;=EDA_Performance!$B$5,"Low Growth","Middle")))</f>
        <v>Middle</v>
      </c>
    </row>
    <row r="129" spans="1:52">
      <c r="A129" s="12">
        <v>1614460</v>
      </c>
      <c r="B129" s="3" t="s">
        <v>74</v>
      </c>
      <c r="C129" s="3" t="s">
        <v>66</v>
      </c>
      <c r="D129" s="13">
        <v>5</v>
      </c>
      <c r="E129" s="13">
        <v>3100</v>
      </c>
      <c r="F129" s="13">
        <v>31</v>
      </c>
      <c r="G129" s="3" t="s">
        <v>71</v>
      </c>
      <c r="H129" s="13">
        <v>2023</v>
      </c>
      <c r="I129" s="13">
        <v>4</v>
      </c>
      <c r="J129" s="14">
        <v>22.385154724121094</v>
      </c>
      <c r="K129" s="15"/>
      <c r="L129" s="15"/>
      <c r="M129" s="16">
        <v>3</v>
      </c>
      <c r="N129" s="13">
        <v>3</v>
      </c>
      <c r="O129" s="13"/>
      <c r="P129" s="15"/>
      <c r="Q129" s="15"/>
      <c r="R129" s="15"/>
      <c r="S129" s="16">
        <v>0</v>
      </c>
      <c r="T129" s="3" t="s">
        <v>60</v>
      </c>
      <c r="U129" s="3" t="s">
        <v>53</v>
      </c>
      <c r="V129" s="3" t="s">
        <v>53</v>
      </c>
      <c r="W129" s="16">
        <v>30</v>
      </c>
      <c r="X129" s="16">
        <v>0</v>
      </c>
      <c r="Y129" s="16">
        <v>70</v>
      </c>
      <c r="Z129" s="3" t="s">
        <v>53</v>
      </c>
      <c r="AA129" s="15"/>
      <c r="AB129" s="3" t="s">
        <v>53</v>
      </c>
      <c r="AC129" s="3" t="s">
        <v>53</v>
      </c>
      <c r="AD129" s="3" t="s">
        <v>53</v>
      </c>
      <c r="AE129" s="16"/>
      <c r="AF129" s="3" t="s">
        <v>55</v>
      </c>
      <c r="AG129" s="3" t="s">
        <v>55</v>
      </c>
      <c r="AH129" s="3" t="s">
        <v>55</v>
      </c>
      <c r="AI129" s="3" t="s">
        <v>55</v>
      </c>
      <c r="AJ129" s="3" t="s">
        <v>70</v>
      </c>
      <c r="AK129" s="3" t="s">
        <v>75</v>
      </c>
      <c r="AL129" s="13">
        <f t="shared" si="13"/>
        <v>1</v>
      </c>
      <c r="AM129" s="15">
        <f t="shared" si="14"/>
        <v>0</v>
      </c>
      <c r="AN129" s="3">
        <f t="shared" si="15"/>
        <v>0</v>
      </c>
      <c r="AO129" s="3" t="str">
        <f t="shared" si="16"/>
        <v>No</v>
      </c>
      <c r="AP129" s="17" t="str">
        <f t="shared" si="17"/>
        <v/>
      </c>
      <c r="AQ129" s="17" t="str">
        <f t="shared" si="18"/>
        <v/>
      </c>
      <c r="AR129" s="17" t="str">
        <f t="shared" si="19"/>
        <v/>
      </c>
      <c r="AS129" s="15" t="str">
        <f t="shared" si="20"/>
        <v/>
      </c>
      <c r="AT129" s="17" t="str">
        <f t="shared" si="21"/>
        <v/>
      </c>
      <c r="AU129" s="17" t="str">
        <f t="shared" si="22"/>
        <v/>
      </c>
      <c r="AV129" s="15" t="str">
        <f t="shared" si="23"/>
        <v/>
      </c>
      <c r="AW129" s="18">
        <f t="shared" si="24"/>
        <v>0</v>
      </c>
      <c r="AX129" s="27" t="str">
        <f>IF(OR(K129&lt;Outlier_Audit!$H$2,K129&gt;Outlier_Audit!$I$2),"Review","Normal")</f>
        <v>Normal</v>
      </c>
      <c r="AY129" t="str">
        <f t="shared" si="25"/>
        <v>&lt;10 years</v>
      </c>
      <c r="AZ129" t="str">
        <f>IF(AQ129="","Missing",IF(AQ129&gt;=EDA_Performance!$B$7,"High Growth",IF(AQ129&lt;=EDA_Performance!$B$5,"Low Growth","Middle")))</f>
        <v>Missing</v>
      </c>
    </row>
    <row r="130" spans="1:52">
      <c r="A130" s="12">
        <v>1614461</v>
      </c>
      <c r="B130" s="3" t="s">
        <v>65</v>
      </c>
      <c r="C130" s="3" t="s">
        <v>50</v>
      </c>
      <c r="D130" s="13">
        <v>250</v>
      </c>
      <c r="E130" s="13">
        <v>3100</v>
      </c>
      <c r="F130" s="13">
        <v>31</v>
      </c>
      <c r="G130" s="3" t="s">
        <v>71</v>
      </c>
      <c r="H130" s="13">
        <v>2001</v>
      </c>
      <c r="I130" s="13">
        <v>20</v>
      </c>
      <c r="J130" s="14">
        <v>1.5749640464782715</v>
      </c>
      <c r="K130" s="15">
        <v>259000000000</v>
      </c>
      <c r="L130" s="15"/>
      <c r="M130" s="16">
        <v>100</v>
      </c>
      <c r="N130" s="13">
        <v>250</v>
      </c>
      <c r="O130" s="13">
        <v>160</v>
      </c>
      <c r="P130" s="15">
        <v>2400000000</v>
      </c>
      <c r="Q130" s="15">
        <v>68000000000</v>
      </c>
      <c r="R130" s="15"/>
      <c r="S130" s="16">
        <v>13</v>
      </c>
      <c r="T130" s="3" t="s">
        <v>52</v>
      </c>
      <c r="U130" s="3" t="s">
        <v>53</v>
      </c>
      <c r="V130" s="3" t="s">
        <v>53</v>
      </c>
      <c r="W130" s="16">
        <v>90</v>
      </c>
      <c r="X130" s="16">
        <v>0</v>
      </c>
      <c r="Y130" s="16">
        <v>0</v>
      </c>
      <c r="Z130" s="3" t="s">
        <v>53</v>
      </c>
      <c r="AA130" s="15"/>
      <c r="AB130" s="3" t="s">
        <v>53</v>
      </c>
      <c r="AC130" s="3" t="s">
        <v>53</v>
      </c>
      <c r="AD130" s="3" t="s">
        <v>52</v>
      </c>
      <c r="AE130" s="16">
        <v>6</v>
      </c>
      <c r="AF130" s="3" t="s">
        <v>67</v>
      </c>
      <c r="AG130" s="3" t="s">
        <v>67</v>
      </c>
      <c r="AH130" s="3" t="s">
        <v>62</v>
      </c>
      <c r="AI130" s="3" t="s">
        <v>54</v>
      </c>
      <c r="AJ130" s="3" t="s">
        <v>79</v>
      </c>
      <c r="AK130" s="3" t="s">
        <v>57</v>
      </c>
      <c r="AL130" s="13">
        <f t="shared" ref="AL130:AL193" si="26">IF(H130="","",2024-H130)</f>
        <v>23</v>
      </c>
      <c r="AM130" s="15">
        <f t="shared" ref="AM130:AM193" si="27">IFERROR(IF(Z130="No",0,IF(Z130="Yes",AA130,"")),"")</f>
        <v>0</v>
      </c>
      <c r="AN130" s="3">
        <f t="shared" ref="AN130:AN193" si="28">IFERROR(IF(AD130="No",0,IF(AD130="Yes",AE130,"")),"")</f>
        <v>6</v>
      </c>
      <c r="AO130" s="3" t="str">
        <f t="shared" ref="AO130:AO193" si="29">IF(S130&gt;0,"Yes","No")</f>
        <v>Yes</v>
      </c>
      <c r="AP130" s="17" t="str">
        <f t="shared" ref="AP130:AP193" si="30">IF(OR(K130="",L130="",L130&lt;=0),"",K130/L130-1)</f>
        <v/>
      </c>
      <c r="AQ130" s="17" t="str">
        <f t="shared" ref="AQ130:AQ193" si="31">IF(OR(K130="",L130="",L130&lt;=0),"",(K130/L130)^(1/2)-1)</f>
        <v/>
      </c>
      <c r="AR130" s="17">
        <f t="shared" ref="AR130:AR193" si="32">IF(OR(N130="",O130="",O130&lt;=0),"",N130/O130-1)</f>
        <v>0.5625</v>
      </c>
      <c r="AS130" s="15">
        <f t="shared" ref="AS130:AS193" si="33">IF(OR(K130="",N130="",N130&lt;=0),"",K130/N130)</f>
        <v>1036000000</v>
      </c>
      <c r="AT130" s="17">
        <f t="shared" ref="AT130:AT193" si="34">IF(OR(P130="",K130="",K130&lt;=0),"",P130/K130)</f>
        <v>9.2664092664092659E-3</v>
      </c>
      <c r="AU130" s="17">
        <f t="shared" ref="AU130:AU193" si="35">IF(OR(Q130="",K130="",K130&lt;=0),"",Q130/K130)</f>
        <v>0.26254826254826252</v>
      </c>
      <c r="AV130" s="15" t="str">
        <f t="shared" ref="AV130:AV193" si="36">IF(OR(R130="",N130="",N130&lt;=0),"",R130/N130)</f>
        <v/>
      </c>
      <c r="AW130" s="18">
        <f t="shared" ref="AW130:AW193" si="37">IFERROR(IF(Z130="No",0,IF(Z130="Yes",AM130/K130,"")),"")</f>
        <v>0</v>
      </c>
      <c r="AX130" s="27" t="str">
        <f>IF(OR(K130&lt;Outlier_Audit!$H$2,K130&gt;Outlier_Audit!$I$2),"Review","Normal")</f>
        <v>Review</v>
      </c>
      <c r="AY130" t="str">
        <f t="shared" ref="AY130:AY193" si="38">IF(AL130="","Unknown",IF(AL130&lt;10,"&lt;10 years",IF(AL130&lt;20,"10-19 years",IF(AL130&lt;30,"20-29 years","30+ years"))))</f>
        <v>20-29 years</v>
      </c>
      <c r="AZ130" t="str">
        <f>IF(AQ130="","Missing",IF(AQ130&gt;=EDA_Performance!$B$7,"High Growth",IF(AQ130&lt;=EDA_Performance!$B$5,"Low Growth","Middle")))</f>
        <v>Missing</v>
      </c>
    </row>
    <row r="131" spans="1:52">
      <c r="A131" s="12">
        <v>1614469</v>
      </c>
      <c r="B131" s="3" t="s">
        <v>65</v>
      </c>
      <c r="C131" s="3" t="s">
        <v>50</v>
      </c>
      <c r="D131" s="13">
        <v>800</v>
      </c>
      <c r="E131" s="13">
        <v>2394</v>
      </c>
      <c r="F131" s="13">
        <v>23</v>
      </c>
      <c r="G131" s="3" t="s">
        <v>83</v>
      </c>
      <c r="H131" s="13">
        <v>1994</v>
      </c>
      <c r="I131" s="13">
        <v>28</v>
      </c>
      <c r="J131" s="14">
        <v>1.5749640464782715</v>
      </c>
      <c r="K131" s="15">
        <v>25000000000</v>
      </c>
      <c r="L131" s="15">
        <v>15000000000</v>
      </c>
      <c r="M131" s="16">
        <v>99</v>
      </c>
      <c r="N131" s="13">
        <v>52</v>
      </c>
      <c r="O131" s="13">
        <v>25</v>
      </c>
      <c r="P131" s="15">
        <v>2000000000</v>
      </c>
      <c r="Q131" s="15">
        <v>15000000000</v>
      </c>
      <c r="R131" s="15">
        <v>18000000000</v>
      </c>
      <c r="S131" s="16">
        <v>50</v>
      </c>
      <c r="T131" s="3" t="s">
        <v>52</v>
      </c>
      <c r="U131" s="3" t="s">
        <v>52</v>
      </c>
      <c r="V131" s="3" t="s">
        <v>53</v>
      </c>
      <c r="W131" s="16">
        <v>70</v>
      </c>
      <c r="X131" s="16">
        <v>0</v>
      </c>
      <c r="Y131" s="16">
        <v>10</v>
      </c>
      <c r="Z131" s="3" t="s">
        <v>53</v>
      </c>
      <c r="AA131" s="15"/>
      <c r="AB131" s="3" t="s">
        <v>53</v>
      </c>
      <c r="AC131" s="3" t="s">
        <v>53</v>
      </c>
      <c r="AD131" s="3" t="s">
        <v>53</v>
      </c>
      <c r="AE131" s="16"/>
      <c r="AF131" s="3" t="s">
        <v>62</v>
      </c>
      <c r="AG131" s="3" t="s">
        <v>62</v>
      </c>
      <c r="AH131" s="3" t="s">
        <v>67</v>
      </c>
      <c r="AI131" s="3" t="s">
        <v>67</v>
      </c>
      <c r="AJ131" s="3" t="s">
        <v>56</v>
      </c>
      <c r="AK131" s="3" t="s">
        <v>57</v>
      </c>
      <c r="AL131" s="13">
        <f t="shared" si="26"/>
        <v>30</v>
      </c>
      <c r="AM131" s="15">
        <f t="shared" si="27"/>
        <v>0</v>
      </c>
      <c r="AN131" s="3">
        <f t="shared" si="28"/>
        <v>0</v>
      </c>
      <c r="AO131" s="3" t="str">
        <f t="shared" si="29"/>
        <v>Yes</v>
      </c>
      <c r="AP131" s="17">
        <f t="shared" si="30"/>
        <v>0.66666666666666674</v>
      </c>
      <c r="AQ131" s="17">
        <f t="shared" si="31"/>
        <v>0.2909944487358056</v>
      </c>
      <c r="AR131" s="17">
        <f t="shared" si="32"/>
        <v>1.08</v>
      </c>
      <c r="AS131" s="15">
        <f t="shared" si="33"/>
        <v>480769230.76923078</v>
      </c>
      <c r="AT131" s="17">
        <f t="shared" si="34"/>
        <v>0.08</v>
      </c>
      <c r="AU131" s="17">
        <f t="shared" si="35"/>
        <v>0.6</v>
      </c>
      <c r="AV131" s="15">
        <f t="shared" si="36"/>
        <v>346153846.15384614</v>
      </c>
      <c r="AW131" s="18">
        <f t="shared" si="37"/>
        <v>0</v>
      </c>
      <c r="AX131" s="27" t="str">
        <f>IF(OR(K131&lt;Outlier_Audit!$H$2,K131&gt;Outlier_Audit!$I$2),"Review","Normal")</f>
        <v>Review</v>
      </c>
      <c r="AY131" t="str">
        <f t="shared" si="38"/>
        <v>30+ years</v>
      </c>
      <c r="AZ131" t="str">
        <f>IF(AQ131="","Missing",IF(AQ131&gt;=EDA_Performance!$B$7,"High Growth",IF(AQ131&lt;=EDA_Performance!$B$5,"Low Growth","Middle")))</f>
        <v>High Growth</v>
      </c>
    </row>
    <row r="132" spans="1:52">
      <c r="A132" s="12">
        <v>1614470</v>
      </c>
      <c r="B132" s="3" t="s">
        <v>80</v>
      </c>
      <c r="C132" s="3" t="s">
        <v>66</v>
      </c>
      <c r="D132" s="13">
        <v>15</v>
      </c>
      <c r="E132" s="13">
        <v>1102</v>
      </c>
      <c r="F132" s="13">
        <v>11</v>
      </c>
      <c r="G132" s="3" t="s">
        <v>89</v>
      </c>
      <c r="H132" s="13">
        <v>2016</v>
      </c>
      <c r="I132" s="13">
        <v>9</v>
      </c>
      <c r="J132" s="14">
        <v>2.6425690650939941</v>
      </c>
      <c r="K132" s="15"/>
      <c r="L132" s="15"/>
      <c r="M132" s="16"/>
      <c r="N132" s="13">
        <v>10</v>
      </c>
      <c r="O132" s="13">
        <v>9</v>
      </c>
      <c r="P132" s="15"/>
      <c r="Q132" s="15"/>
      <c r="R132" s="15">
        <v>92340000</v>
      </c>
      <c r="S132" s="16">
        <v>0</v>
      </c>
      <c r="T132" s="3" t="s">
        <v>60</v>
      </c>
      <c r="U132" s="3" t="s">
        <v>52</v>
      </c>
      <c r="V132" s="3" t="s">
        <v>52</v>
      </c>
      <c r="W132" s="16">
        <v>90</v>
      </c>
      <c r="X132" s="16">
        <v>0</v>
      </c>
      <c r="Y132" s="16">
        <v>0</v>
      </c>
      <c r="Z132" s="3" t="s">
        <v>53</v>
      </c>
      <c r="AA132" s="15"/>
      <c r="AB132" s="3" t="s">
        <v>53</v>
      </c>
      <c r="AC132" s="3" t="s">
        <v>53</v>
      </c>
      <c r="AD132" s="3" t="s">
        <v>52</v>
      </c>
      <c r="AE132" s="16">
        <v>8</v>
      </c>
      <c r="AF132" s="3" t="s">
        <v>55</v>
      </c>
      <c r="AG132" s="3" t="s">
        <v>54</v>
      </c>
      <c r="AH132" s="3" t="s">
        <v>55</v>
      </c>
      <c r="AI132" s="3" t="s">
        <v>54</v>
      </c>
      <c r="AJ132" s="3" t="s">
        <v>56</v>
      </c>
      <c r="AK132" s="3" t="s">
        <v>75</v>
      </c>
      <c r="AL132" s="13">
        <f t="shared" si="26"/>
        <v>8</v>
      </c>
      <c r="AM132" s="15">
        <f t="shared" si="27"/>
        <v>0</v>
      </c>
      <c r="AN132" s="3">
        <f t="shared" si="28"/>
        <v>8</v>
      </c>
      <c r="AO132" s="3" t="str">
        <f t="shared" si="29"/>
        <v>No</v>
      </c>
      <c r="AP132" s="17" t="str">
        <f t="shared" si="30"/>
        <v/>
      </c>
      <c r="AQ132" s="17" t="str">
        <f t="shared" si="31"/>
        <v/>
      </c>
      <c r="AR132" s="17">
        <f t="shared" si="32"/>
        <v>0.11111111111111116</v>
      </c>
      <c r="AS132" s="15" t="str">
        <f t="shared" si="33"/>
        <v/>
      </c>
      <c r="AT132" s="17" t="str">
        <f t="shared" si="34"/>
        <v/>
      </c>
      <c r="AU132" s="17" t="str">
        <f t="shared" si="35"/>
        <v/>
      </c>
      <c r="AV132" s="15">
        <f t="shared" si="36"/>
        <v>9234000</v>
      </c>
      <c r="AW132" s="18">
        <f t="shared" si="37"/>
        <v>0</v>
      </c>
      <c r="AX132" s="27" t="str">
        <f>IF(OR(K132&lt;Outlier_Audit!$H$2,K132&gt;Outlier_Audit!$I$2),"Review","Normal")</f>
        <v>Normal</v>
      </c>
      <c r="AY132" t="str">
        <f t="shared" si="38"/>
        <v>&lt;10 years</v>
      </c>
      <c r="AZ132" t="str">
        <f>IF(AQ132="","Missing",IF(AQ132&gt;=EDA_Performance!$B$7,"High Growth",IF(AQ132&lt;=EDA_Performance!$B$5,"Low Growth","Middle")))</f>
        <v>Missing</v>
      </c>
    </row>
    <row r="133" spans="1:52">
      <c r="A133" s="12">
        <v>1614471</v>
      </c>
      <c r="B133" s="3" t="s">
        <v>65</v>
      </c>
      <c r="C133" s="3" t="s">
        <v>50</v>
      </c>
      <c r="D133" s="13">
        <v>800</v>
      </c>
      <c r="E133" s="13">
        <v>2410</v>
      </c>
      <c r="F133" s="13">
        <v>24</v>
      </c>
      <c r="G133" s="3" t="s">
        <v>73</v>
      </c>
      <c r="H133" s="13">
        <v>2001</v>
      </c>
      <c r="I133" s="13">
        <v>30</v>
      </c>
      <c r="J133" s="14">
        <v>1.5749640464782715</v>
      </c>
      <c r="K133" s="15">
        <v>2000000000</v>
      </c>
      <c r="L133" s="15">
        <v>900000000</v>
      </c>
      <c r="M133" s="16">
        <v>100</v>
      </c>
      <c r="N133" s="13">
        <v>85</v>
      </c>
      <c r="O133" s="13">
        <v>40</v>
      </c>
      <c r="P133" s="15">
        <v>700000000</v>
      </c>
      <c r="Q133" s="15">
        <v>1000000000</v>
      </c>
      <c r="R133" s="15">
        <v>8000000000</v>
      </c>
      <c r="S133" s="16">
        <v>25</v>
      </c>
      <c r="T133" s="3" t="s">
        <v>52</v>
      </c>
      <c r="U133" s="3" t="s">
        <v>52</v>
      </c>
      <c r="V133" s="3" t="s">
        <v>53</v>
      </c>
      <c r="W133" s="16">
        <v>60</v>
      </c>
      <c r="X133" s="16">
        <v>5</v>
      </c>
      <c r="Y133" s="16">
        <v>20</v>
      </c>
      <c r="Z133" s="3" t="s">
        <v>52</v>
      </c>
      <c r="AA133" s="15">
        <v>600000000</v>
      </c>
      <c r="AB133" s="3" t="s">
        <v>53</v>
      </c>
      <c r="AC133" s="3" t="s">
        <v>52</v>
      </c>
      <c r="AD133" s="3" t="s">
        <v>52</v>
      </c>
      <c r="AE133" s="16">
        <v>2</v>
      </c>
      <c r="AF133" s="3" t="s">
        <v>62</v>
      </c>
      <c r="AG133" s="3" t="s">
        <v>62</v>
      </c>
      <c r="AH133" s="3" t="s">
        <v>62</v>
      </c>
      <c r="AI133" s="3" t="s">
        <v>62</v>
      </c>
      <c r="AJ133" s="3" t="s">
        <v>56</v>
      </c>
      <c r="AK133" s="3" t="s">
        <v>57</v>
      </c>
      <c r="AL133" s="13">
        <f t="shared" si="26"/>
        <v>23</v>
      </c>
      <c r="AM133" s="15">
        <f t="shared" si="27"/>
        <v>600000000</v>
      </c>
      <c r="AN133" s="3">
        <f t="shared" si="28"/>
        <v>2</v>
      </c>
      <c r="AO133" s="3" t="str">
        <f t="shared" si="29"/>
        <v>Yes</v>
      </c>
      <c r="AP133" s="17">
        <f t="shared" si="30"/>
        <v>1.2222222222222223</v>
      </c>
      <c r="AQ133" s="17">
        <f t="shared" si="31"/>
        <v>0.4907119849998598</v>
      </c>
      <c r="AR133" s="17">
        <f t="shared" si="32"/>
        <v>1.125</v>
      </c>
      <c r="AS133" s="15">
        <f t="shared" si="33"/>
        <v>23529411.764705881</v>
      </c>
      <c r="AT133" s="17">
        <f t="shared" si="34"/>
        <v>0.35</v>
      </c>
      <c r="AU133" s="17">
        <f t="shared" si="35"/>
        <v>0.5</v>
      </c>
      <c r="AV133" s="15">
        <f t="shared" si="36"/>
        <v>94117647.058823526</v>
      </c>
      <c r="AW133" s="18">
        <f t="shared" si="37"/>
        <v>0.3</v>
      </c>
      <c r="AX133" s="27" t="str">
        <f>IF(OR(K133&lt;Outlier_Audit!$H$2,K133&gt;Outlier_Audit!$I$2),"Review","Normal")</f>
        <v>Normal</v>
      </c>
      <c r="AY133" t="str">
        <f t="shared" si="38"/>
        <v>20-29 years</v>
      </c>
      <c r="AZ133" t="str">
        <f>IF(AQ133="","Missing",IF(AQ133&gt;=EDA_Performance!$B$7,"High Growth",IF(AQ133&lt;=EDA_Performance!$B$5,"Low Growth","Middle")))</f>
        <v>High Growth</v>
      </c>
    </row>
    <row r="134" spans="1:52">
      <c r="A134" s="12">
        <v>1614472</v>
      </c>
      <c r="B134" s="3" t="s">
        <v>65</v>
      </c>
      <c r="C134" s="3" t="s">
        <v>58</v>
      </c>
      <c r="D134" s="13">
        <v>20</v>
      </c>
      <c r="E134" s="13">
        <v>1061</v>
      </c>
      <c r="F134" s="13">
        <v>10</v>
      </c>
      <c r="G134" s="3" t="s">
        <v>51</v>
      </c>
      <c r="H134" s="13">
        <v>2017</v>
      </c>
      <c r="I134" s="13">
        <v>18</v>
      </c>
      <c r="J134" s="14">
        <v>30.085899353027344</v>
      </c>
      <c r="K134" s="15">
        <v>80000000</v>
      </c>
      <c r="L134" s="15">
        <v>50000000</v>
      </c>
      <c r="M134" s="16">
        <v>50</v>
      </c>
      <c r="N134" s="13">
        <v>13</v>
      </c>
      <c r="O134" s="13">
        <v>10</v>
      </c>
      <c r="P134" s="15">
        <v>7200000</v>
      </c>
      <c r="Q134" s="15">
        <v>30000000</v>
      </c>
      <c r="R134" s="15">
        <v>120000000</v>
      </c>
      <c r="S134" s="16">
        <v>0</v>
      </c>
      <c r="T134" s="3" t="s">
        <v>52</v>
      </c>
      <c r="U134" s="3" t="s">
        <v>52</v>
      </c>
      <c r="V134" s="3" t="s">
        <v>52</v>
      </c>
      <c r="W134" s="16">
        <v>0</v>
      </c>
      <c r="X134" s="16">
        <v>0</v>
      </c>
      <c r="Y134" s="16">
        <v>100</v>
      </c>
      <c r="Z134" s="3" t="s">
        <v>52</v>
      </c>
      <c r="AA134" s="15">
        <v>5000000</v>
      </c>
      <c r="AB134" s="3" t="s">
        <v>53</v>
      </c>
      <c r="AC134" s="3" t="s">
        <v>53</v>
      </c>
      <c r="AD134" s="3" t="s">
        <v>53</v>
      </c>
      <c r="AE134" s="16"/>
      <c r="AF134" s="3" t="s">
        <v>67</v>
      </c>
      <c r="AG134" s="3" t="s">
        <v>55</v>
      </c>
      <c r="AH134" s="3" t="s">
        <v>62</v>
      </c>
      <c r="AI134" s="3" t="s">
        <v>55</v>
      </c>
      <c r="AJ134" s="3" t="s">
        <v>70</v>
      </c>
      <c r="AK134" s="3" t="s">
        <v>75</v>
      </c>
      <c r="AL134" s="13">
        <f t="shared" si="26"/>
        <v>7</v>
      </c>
      <c r="AM134" s="15">
        <f t="shared" si="27"/>
        <v>5000000</v>
      </c>
      <c r="AN134" s="3">
        <f t="shared" si="28"/>
        <v>0</v>
      </c>
      <c r="AO134" s="3" t="str">
        <f t="shared" si="29"/>
        <v>No</v>
      </c>
      <c r="AP134" s="17">
        <f t="shared" si="30"/>
        <v>0.60000000000000009</v>
      </c>
      <c r="AQ134" s="17">
        <f t="shared" si="31"/>
        <v>0.26491106406735176</v>
      </c>
      <c r="AR134" s="17">
        <f t="shared" si="32"/>
        <v>0.30000000000000004</v>
      </c>
      <c r="AS134" s="15">
        <f t="shared" si="33"/>
        <v>6153846.153846154</v>
      </c>
      <c r="AT134" s="17">
        <f t="shared" si="34"/>
        <v>0.09</v>
      </c>
      <c r="AU134" s="17">
        <f t="shared" si="35"/>
        <v>0.375</v>
      </c>
      <c r="AV134" s="15">
        <f t="shared" si="36"/>
        <v>9230769.2307692301</v>
      </c>
      <c r="AW134" s="18">
        <f t="shared" si="37"/>
        <v>6.25E-2</v>
      </c>
      <c r="AX134" s="27" t="str">
        <f>IF(OR(K134&lt;Outlier_Audit!$H$2,K134&gt;Outlier_Audit!$I$2),"Review","Normal")</f>
        <v>Normal</v>
      </c>
      <c r="AY134" t="str">
        <f t="shared" si="38"/>
        <v>&lt;10 years</v>
      </c>
      <c r="AZ134" t="str">
        <f>IF(AQ134="","Missing",IF(AQ134&gt;=EDA_Performance!$B$7,"High Growth",IF(AQ134&lt;=EDA_Performance!$B$5,"Low Growth","Middle")))</f>
        <v>Middle</v>
      </c>
    </row>
    <row r="135" spans="1:52">
      <c r="A135" s="12">
        <v>1614474</v>
      </c>
      <c r="B135" s="3" t="s">
        <v>74</v>
      </c>
      <c r="C135" s="3" t="s">
        <v>66</v>
      </c>
      <c r="D135" s="13">
        <v>40</v>
      </c>
      <c r="E135" s="13">
        <v>1061</v>
      </c>
      <c r="F135" s="13">
        <v>10</v>
      </c>
      <c r="G135" s="3" t="s">
        <v>51</v>
      </c>
      <c r="H135" s="13">
        <v>1997</v>
      </c>
      <c r="I135" s="13">
        <v>6</v>
      </c>
      <c r="J135" s="14">
        <v>1.6504706144332886</v>
      </c>
      <c r="K135" s="15"/>
      <c r="L135" s="15"/>
      <c r="M135" s="16">
        <v>3</v>
      </c>
      <c r="N135" s="13">
        <v>6</v>
      </c>
      <c r="O135" s="13">
        <v>6</v>
      </c>
      <c r="P135" s="15"/>
      <c r="Q135" s="15"/>
      <c r="R135" s="15"/>
      <c r="S135" s="16">
        <v>0</v>
      </c>
      <c r="T135" s="3" t="s">
        <v>52</v>
      </c>
      <c r="U135" s="3" t="s">
        <v>53</v>
      </c>
      <c r="V135" s="3" t="s">
        <v>53</v>
      </c>
      <c r="W135" s="16">
        <v>80</v>
      </c>
      <c r="X135" s="16">
        <v>20</v>
      </c>
      <c r="Y135" s="16">
        <v>0</v>
      </c>
      <c r="Z135" s="3" t="s">
        <v>53</v>
      </c>
      <c r="AA135" s="15"/>
      <c r="AB135" s="3" t="s">
        <v>53</v>
      </c>
      <c r="AC135" s="3" t="s">
        <v>52</v>
      </c>
      <c r="AD135" s="3" t="s">
        <v>52</v>
      </c>
      <c r="AE135" s="16">
        <v>6</v>
      </c>
      <c r="AF135" s="3" t="s">
        <v>55</v>
      </c>
      <c r="AG135" s="3" t="s">
        <v>54</v>
      </c>
      <c r="AH135" s="3" t="s">
        <v>67</v>
      </c>
      <c r="AI135" s="3" t="s">
        <v>67</v>
      </c>
      <c r="AJ135" s="3" t="s">
        <v>63</v>
      </c>
      <c r="AK135" s="3" t="s">
        <v>85</v>
      </c>
      <c r="AL135" s="13">
        <f t="shared" si="26"/>
        <v>27</v>
      </c>
      <c r="AM135" s="15">
        <f t="shared" si="27"/>
        <v>0</v>
      </c>
      <c r="AN135" s="3">
        <f t="shared" si="28"/>
        <v>6</v>
      </c>
      <c r="AO135" s="3" t="str">
        <f t="shared" si="29"/>
        <v>No</v>
      </c>
      <c r="AP135" s="17" t="str">
        <f t="shared" si="30"/>
        <v/>
      </c>
      <c r="AQ135" s="17" t="str">
        <f t="shared" si="31"/>
        <v/>
      </c>
      <c r="AR135" s="17">
        <f t="shared" si="32"/>
        <v>0</v>
      </c>
      <c r="AS135" s="15" t="str">
        <f t="shared" si="33"/>
        <v/>
      </c>
      <c r="AT135" s="17" t="str">
        <f t="shared" si="34"/>
        <v/>
      </c>
      <c r="AU135" s="17" t="str">
        <f t="shared" si="35"/>
        <v/>
      </c>
      <c r="AV135" s="15" t="str">
        <f t="shared" si="36"/>
        <v/>
      </c>
      <c r="AW135" s="18">
        <f t="shared" si="37"/>
        <v>0</v>
      </c>
      <c r="AX135" s="27" t="str">
        <f>IF(OR(K135&lt;Outlier_Audit!$H$2,K135&gt;Outlier_Audit!$I$2),"Review","Normal")</f>
        <v>Normal</v>
      </c>
      <c r="AY135" t="str">
        <f t="shared" si="38"/>
        <v>20-29 years</v>
      </c>
      <c r="AZ135" t="str">
        <f>IF(AQ135="","Missing",IF(AQ135&gt;=EDA_Performance!$B$7,"High Growth",IF(AQ135&lt;=EDA_Performance!$B$5,"Low Growth","Middle")))</f>
        <v>Missing</v>
      </c>
    </row>
    <row r="136" spans="1:52">
      <c r="A136" s="12">
        <v>1614477</v>
      </c>
      <c r="B136" s="3" t="s">
        <v>74</v>
      </c>
      <c r="C136" s="3" t="s">
        <v>66</v>
      </c>
      <c r="D136" s="13">
        <v>5</v>
      </c>
      <c r="E136" s="13">
        <v>1079</v>
      </c>
      <c r="F136" s="13">
        <v>10</v>
      </c>
      <c r="G136" s="3" t="s">
        <v>51</v>
      </c>
      <c r="H136" s="13">
        <v>2005</v>
      </c>
      <c r="I136" s="13">
        <v>4</v>
      </c>
      <c r="J136" s="14">
        <v>1.6504706144332886</v>
      </c>
      <c r="K136" s="15">
        <v>180000000</v>
      </c>
      <c r="L136" s="15"/>
      <c r="M136" s="16">
        <v>82</v>
      </c>
      <c r="N136" s="13">
        <v>5</v>
      </c>
      <c r="O136" s="13">
        <v>5</v>
      </c>
      <c r="P136" s="15">
        <v>20000000</v>
      </c>
      <c r="Q136" s="15"/>
      <c r="R136" s="15">
        <v>50000000</v>
      </c>
      <c r="S136" s="16">
        <v>0</v>
      </c>
      <c r="T136" s="3" t="s">
        <v>60</v>
      </c>
      <c r="U136" s="3" t="s">
        <v>53</v>
      </c>
      <c r="V136" s="3" t="s">
        <v>53</v>
      </c>
      <c r="W136" s="16">
        <v>100</v>
      </c>
      <c r="X136" s="16">
        <v>0</v>
      </c>
      <c r="Y136" s="16">
        <v>0</v>
      </c>
      <c r="Z136" s="3" t="s">
        <v>53</v>
      </c>
      <c r="AA136" s="15"/>
      <c r="AB136" s="3" t="s">
        <v>53</v>
      </c>
      <c r="AC136" s="3" t="s">
        <v>53</v>
      </c>
      <c r="AD136" s="3" t="s">
        <v>53</v>
      </c>
      <c r="AE136" s="16"/>
      <c r="AF136" s="3" t="s">
        <v>67</v>
      </c>
      <c r="AG136" s="3" t="s">
        <v>62</v>
      </c>
      <c r="AH136" s="3" t="s">
        <v>62</v>
      </c>
      <c r="AI136" s="3"/>
      <c r="AJ136" s="3" t="s">
        <v>63</v>
      </c>
      <c r="AK136" s="3" t="s">
        <v>75</v>
      </c>
      <c r="AL136" s="13">
        <f t="shared" si="26"/>
        <v>19</v>
      </c>
      <c r="AM136" s="15">
        <f t="shared" si="27"/>
        <v>0</v>
      </c>
      <c r="AN136" s="3">
        <f t="shared" si="28"/>
        <v>0</v>
      </c>
      <c r="AO136" s="3" t="str">
        <f t="shared" si="29"/>
        <v>No</v>
      </c>
      <c r="AP136" s="17" t="str">
        <f t="shared" si="30"/>
        <v/>
      </c>
      <c r="AQ136" s="17" t="str">
        <f t="shared" si="31"/>
        <v/>
      </c>
      <c r="AR136" s="17">
        <f t="shared" si="32"/>
        <v>0</v>
      </c>
      <c r="AS136" s="15">
        <f t="shared" si="33"/>
        <v>36000000</v>
      </c>
      <c r="AT136" s="17">
        <f t="shared" si="34"/>
        <v>0.1111111111111111</v>
      </c>
      <c r="AU136" s="17" t="str">
        <f t="shared" si="35"/>
        <v/>
      </c>
      <c r="AV136" s="15">
        <f t="shared" si="36"/>
        <v>10000000</v>
      </c>
      <c r="AW136" s="18">
        <f t="shared" si="37"/>
        <v>0</v>
      </c>
      <c r="AX136" s="27" t="str">
        <f>IF(OR(K136&lt;Outlier_Audit!$H$2,K136&gt;Outlier_Audit!$I$2),"Review","Normal")</f>
        <v>Normal</v>
      </c>
      <c r="AY136" t="str">
        <f t="shared" si="38"/>
        <v>10-19 years</v>
      </c>
      <c r="AZ136" t="str">
        <f>IF(AQ136="","Missing",IF(AQ136&gt;=EDA_Performance!$B$7,"High Growth",IF(AQ136&lt;=EDA_Performance!$B$5,"Low Growth","Middle")))</f>
        <v>Missing</v>
      </c>
    </row>
    <row r="137" spans="1:52">
      <c r="A137" s="12">
        <v>1614480</v>
      </c>
      <c r="B137" s="3" t="s">
        <v>49</v>
      </c>
      <c r="C137" s="3" t="s">
        <v>66</v>
      </c>
      <c r="D137" s="13">
        <v>130</v>
      </c>
      <c r="E137" s="13">
        <v>1200</v>
      </c>
      <c r="F137" s="13">
        <v>12</v>
      </c>
      <c r="G137" s="3" t="s">
        <v>99</v>
      </c>
      <c r="H137" s="13">
        <v>2010</v>
      </c>
      <c r="I137" s="13">
        <v>30</v>
      </c>
      <c r="J137" s="14">
        <v>1.6637996435165405</v>
      </c>
      <c r="K137" s="15">
        <v>4000000000</v>
      </c>
      <c r="L137" s="15">
        <v>3700000000</v>
      </c>
      <c r="M137" s="16">
        <v>65</v>
      </c>
      <c r="N137" s="13">
        <v>130</v>
      </c>
      <c r="O137" s="13">
        <v>100</v>
      </c>
      <c r="P137" s="15">
        <v>500000000</v>
      </c>
      <c r="Q137" s="15">
        <v>3000000000</v>
      </c>
      <c r="R137" s="15">
        <v>300000000</v>
      </c>
      <c r="S137" s="16">
        <v>96</v>
      </c>
      <c r="T137" s="3" t="s">
        <v>52</v>
      </c>
      <c r="U137" s="3" t="s">
        <v>53</v>
      </c>
      <c r="V137" s="3" t="s">
        <v>53</v>
      </c>
      <c r="W137" s="16">
        <v>100</v>
      </c>
      <c r="X137" s="16">
        <v>0</v>
      </c>
      <c r="Y137" s="16">
        <v>0</v>
      </c>
      <c r="Z137" s="3" t="s">
        <v>53</v>
      </c>
      <c r="AA137" s="15"/>
      <c r="AB137" s="3" t="s">
        <v>53</v>
      </c>
      <c r="AC137" s="3" t="s">
        <v>53</v>
      </c>
      <c r="AD137" s="3" t="s">
        <v>52</v>
      </c>
      <c r="AE137" s="16">
        <v>12</v>
      </c>
      <c r="AF137" s="3" t="s">
        <v>54</v>
      </c>
      <c r="AG137" s="3" t="s">
        <v>54</v>
      </c>
      <c r="AH137" s="3" t="s">
        <v>62</v>
      </c>
      <c r="AI137" s="3" t="s">
        <v>67</v>
      </c>
      <c r="AJ137" s="3" t="s">
        <v>63</v>
      </c>
      <c r="AK137" s="3" t="s">
        <v>57</v>
      </c>
      <c r="AL137" s="13">
        <f t="shared" si="26"/>
        <v>14</v>
      </c>
      <c r="AM137" s="15">
        <f t="shared" si="27"/>
        <v>0</v>
      </c>
      <c r="AN137" s="3">
        <f t="shared" si="28"/>
        <v>12</v>
      </c>
      <c r="AO137" s="3" t="str">
        <f t="shared" si="29"/>
        <v>Yes</v>
      </c>
      <c r="AP137" s="17">
        <f t="shared" si="30"/>
        <v>8.1081081081081141E-2</v>
      </c>
      <c r="AQ137" s="17">
        <f t="shared" si="31"/>
        <v>3.9750489820072676E-2</v>
      </c>
      <c r="AR137" s="17">
        <f t="shared" si="32"/>
        <v>0.30000000000000004</v>
      </c>
      <c r="AS137" s="15">
        <f t="shared" si="33"/>
        <v>30769230.769230768</v>
      </c>
      <c r="AT137" s="17">
        <f t="shared" si="34"/>
        <v>0.125</v>
      </c>
      <c r="AU137" s="17">
        <f t="shared" si="35"/>
        <v>0.75</v>
      </c>
      <c r="AV137" s="15">
        <f t="shared" si="36"/>
        <v>2307692.3076923075</v>
      </c>
      <c r="AW137" s="18">
        <f t="shared" si="37"/>
        <v>0</v>
      </c>
      <c r="AX137" s="27" t="str">
        <f>IF(OR(K137&lt;Outlier_Audit!$H$2,K137&gt;Outlier_Audit!$I$2),"Review","Normal")</f>
        <v>Normal</v>
      </c>
      <c r="AY137" t="str">
        <f t="shared" si="38"/>
        <v>10-19 years</v>
      </c>
      <c r="AZ137" t="str">
        <f>IF(AQ137="","Missing",IF(AQ137&gt;=EDA_Performance!$B$7,"High Growth",IF(AQ137&lt;=EDA_Performance!$B$5,"Low Growth","Middle")))</f>
        <v>Low Growth</v>
      </c>
    </row>
    <row r="138" spans="1:52">
      <c r="A138" s="12">
        <v>1614485</v>
      </c>
      <c r="B138" s="3" t="s">
        <v>65</v>
      </c>
      <c r="C138" s="3" t="s">
        <v>50</v>
      </c>
      <c r="D138" s="13">
        <v>1000</v>
      </c>
      <c r="E138" s="13">
        <v>1104</v>
      </c>
      <c r="F138" s="13">
        <v>11</v>
      </c>
      <c r="G138" s="3" t="s">
        <v>89</v>
      </c>
      <c r="H138" s="13">
        <v>1886</v>
      </c>
      <c r="I138" s="13">
        <v>10</v>
      </c>
      <c r="J138" s="14">
        <v>1.5749640464782715</v>
      </c>
      <c r="K138" s="15"/>
      <c r="L138" s="15"/>
      <c r="M138" s="16"/>
      <c r="N138" s="13">
        <v>1000</v>
      </c>
      <c r="O138" s="13">
        <v>1000</v>
      </c>
      <c r="P138" s="15"/>
      <c r="Q138" s="15"/>
      <c r="R138" s="15">
        <v>80000000000</v>
      </c>
      <c r="S138" s="16">
        <v>0</v>
      </c>
      <c r="T138" s="3" t="s">
        <v>52</v>
      </c>
      <c r="U138" s="3" t="s">
        <v>53</v>
      </c>
      <c r="V138" s="3" t="s">
        <v>53</v>
      </c>
      <c r="W138" s="16">
        <v>100</v>
      </c>
      <c r="X138" s="16">
        <v>0</v>
      </c>
      <c r="Y138" s="16">
        <v>0</v>
      </c>
      <c r="Z138" s="3" t="s">
        <v>52</v>
      </c>
      <c r="AA138" s="15">
        <v>100000000</v>
      </c>
      <c r="AB138" s="3" t="s">
        <v>53</v>
      </c>
      <c r="AC138" s="3" t="s">
        <v>53</v>
      </c>
      <c r="AD138" s="3" t="s">
        <v>52</v>
      </c>
      <c r="AE138" s="16">
        <v>2</v>
      </c>
      <c r="AF138" s="3" t="s">
        <v>61</v>
      </c>
      <c r="AG138" s="3" t="s">
        <v>62</v>
      </c>
      <c r="AH138" s="3" t="s">
        <v>62</v>
      </c>
      <c r="AI138" s="3" t="s">
        <v>61</v>
      </c>
      <c r="AJ138" s="3" t="s">
        <v>79</v>
      </c>
      <c r="AK138" s="3" t="s">
        <v>64</v>
      </c>
      <c r="AL138" s="13">
        <f t="shared" si="26"/>
        <v>138</v>
      </c>
      <c r="AM138" s="15">
        <f t="shared" si="27"/>
        <v>100000000</v>
      </c>
      <c r="AN138" s="3">
        <f t="shared" si="28"/>
        <v>2</v>
      </c>
      <c r="AO138" s="3" t="str">
        <f t="shared" si="29"/>
        <v>No</v>
      </c>
      <c r="AP138" s="17" t="str">
        <f t="shared" si="30"/>
        <v/>
      </c>
      <c r="AQ138" s="17" t="str">
        <f t="shared" si="31"/>
        <v/>
      </c>
      <c r="AR138" s="17">
        <f t="shared" si="32"/>
        <v>0</v>
      </c>
      <c r="AS138" s="15" t="str">
        <f t="shared" si="33"/>
        <v/>
      </c>
      <c r="AT138" s="17" t="str">
        <f t="shared" si="34"/>
        <v/>
      </c>
      <c r="AU138" s="17" t="str">
        <f t="shared" si="35"/>
        <v/>
      </c>
      <c r="AV138" s="15">
        <f t="shared" si="36"/>
        <v>80000000</v>
      </c>
      <c r="AW138" s="18" t="str">
        <f t="shared" si="37"/>
        <v/>
      </c>
      <c r="AX138" s="27" t="str">
        <f>IF(OR(K138&lt;Outlier_Audit!$H$2,K138&gt;Outlier_Audit!$I$2),"Review","Normal")</f>
        <v>Normal</v>
      </c>
      <c r="AY138" t="str">
        <f t="shared" si="38"/>
        <v>30+ years</v>
      </c>
      <c r="AZ138" t="str">
        <f>IF(AQ138="","Missing",IF(AQ138&gt;=EDA_Performance!$B$7,"High Growth",IF(AQ138&lt;=EDA_Performance!$B$5,"Low Growth","Middle")))</f>
        <v>Missing</v>
      </c>
    </row>
    <row r="139" spans="1:52">
      <c r="A139" s="12">
        <v>1614493</v>
      </c>
      <c r="B139" s="3" t="s">
        <v>80</v>
      </c>
      <c r="C139" s="3" t="s">
        <v>58</v>
      </c>
      <c r="D139" s="13">
        <v>10</v>
      </c>
      <c r="E139" s="13">
        <v>1071</v>
      </c>
      <c r="F139" s="13">
        <v>10</v>
      </c>
      <c r="G139" s="3" t="s">
        <v>51</v>
      </c>
      <c r="H139" s="13">
        <v>2020</v>
      </c>
      <c r="I139" s="13">
        <v>10</v>
      </c>
      <c r="J139" s="14">
        <v>1.6450884342193604</v>
      </c>
      <c r="K139" s="15">
        <v>7200000</v>
      </c>
      <c r="L139" s="15">
        <v>4200000</v>
      </c>
      <c r="M139" s="16">
        <v>2</v>
      </c>
      <c r="N139" s="13">
        <v>5</v>
      </c>
      <c r="O139" s="13">
        <v>4</v>
      </c>
      <c r="P139" s="15"/>
      <c r="Q139" s="15">
        <v>5000000</v>
      </c>
      <c r="R139" s="15">
        <v>36400000</v>
      </c>
      <c r="S139" s="16">
        <v>0</v>
      </c>
      <c r="T139" s="3" t="s">
        <v>60</v>
      </c>
      <c r="U139" s="3" t="s">
        <v>53</v>
      </c>
      <c r="V139" s="3" t="s">
        <v>53</v>
      </c>
      <c r="W139" s="16">
        <v>70</v>
      </c>
      <c r="X139" s="16">
        <v>0</v>
      </c>
      <c r="Y139" s="16">
        <v>10</v>
      </c>
      <c r="Z139" s="3" t="s">
        <v>53</v>
      </c>
      <c r="AA139" s="15"/>
      <c r="AB139" s="3" t="s">
        <v>53</v>
      </c>
      <c r="AC139" s="3" t="s">
        <v>53</v>
      </c>
      <c r="AD139" s="3" t="s">
        <v>53</v>
      </c>
      <c r="AE139" s="16"/>
      <c r="AF139" s="3" t="s">
        <v>55</v>
      </c>
      <c r="AG139" s="3" t="s">
        <v>61</v>
      </c>
      <c r="AH139" s="3" t="s">
        <v>62</v>
      </c>
      <c r="AI139" s="3" t="s">
        <v>61</v>
      </c>
      <c r="AJ139" s="3" t="s">
        <v>70</v>
      </c>
      <c r="AK139" s="3" t="s">
        <v>75</v>
      </c>
      <c r="AL139" s="13">
        <f t="shared" si="26"/>
        <v>4</v>
      </c>
      <c r="AM139" s="15">
        <f t="shared" si="27"/>
        <v>0</v>
      </c>
      <c r="AN139" s="3">
        <f t="shared" si="28"/>
        <v>0</v>
      </c>
      <c r="AO139" s="3" t="str">
        <f t="shared" si="29"/>
        <v>No</v>
      </c>
      <c r="AP139" s="17">
        <f t="shared" si="30"/>
        <v>0.71428571428571419</v>
      </c>
      <c r="AQ139" s="17">
        <f t="shared" si="31"/>
        <v>0.30930734141595417</v>
      </c>
      <c r="AR139" s="17">
        <f t="shared" si="32"/>
        <v>0.25</v>
      </c>
      <c r="AS139" s="15">
        <f t="shared" si="33"/>
        <v>1440000</v>
      </c>
      <c r="AT139" s="17" t="str">
        <f t="shared" si="34"/>
        <v/>
      </c>
      <c r="AU139" s="17">
        <f t="shared" si="35"/>
        <v>0.69444444444444442</v>
      </c>
      <c r="AV139" s="15">
        <f t="shared" si="36"/>
        <v>7280000</v>
      </c>
      <c r="AW139" s="18">
        <f t="shared" si="37"/>
        <v>0</v>
      </c>
      <c r="AX139" s="27" t="str">
        <f>IF(OR(K139&lt;Outlier_Audit!$H$2,K139&gt;Outlier_Audit!$I$2),"Review","Normal")</f>
        <v>Normal</v>
      </c>
      <c r="AY139" t="str">
        <f t="shared" si="38"/>
        <v>&lt;10 years</v>
      </c>
      <c r="AZ139" t="str">
        <f>IF(AQ139="","Missing",IF(AQ139&gt;=EDA_Performance!$B$7,"High Growth",IF(AQ139&lt;=EDA_Performance!$B$5,"Low Growth","Middle")))</f>
        <v>High Growth</v>
      </c>
    </row>
    <row r="140" spans="1:52">
      <c r="A140" s="12">
        <v>1614494</v>
      </c>
      <c r="B140" s="3" t="s">
        <v>49</v>
      </c>
      <c r="C140" s="3" t="s">
        <v>58</v>
      </c>
      <c r="D140" s="13">
        <v>11</v>
      </c>
      <c r="E140" s="13">
        <v>1061</v>
      </c>
      <c r="F140" s="13">
        <v>10</v>
      </c>
      <c r="G140" s="3" t="s">
        <v>51</v>
      </c>
      <c r="H140" s="13">
        <v>2010</v>
      </c>
      <c r="I140" s="13">
        <v>15</v>
      </c>
      <c r="J140" s="14">
        <v>7.8952765464782715</v>
      </c>
      <c r="K140" s="15">
        <v>500000000</v>
      </c>
      <c r="L140" s="15">
        <v>450000000</v>
      </c>
      <c r="M140" s="16">
        <v>95</v>
      </c>
      <c r="N140" s="13">
        <v>10</v>
      </c>
      <c r="O140" s="13">
        <v>9</v>
      </c>
      <c r="P140" s="15">
        <v>59400000</v>
      </c>
      <c r="Q140" s="15">
        <v>60000000</v>
      </c>
      <c r="R140" s="15">
        <v>80000000</v>
      </c>
      <c r="S140" s="16">
        <v>0</v>
      </c>
      <c r="T140" s="3" t="s">
        <v>60</v>
      </c>
      <c r="U140" s="3" t="s">
        <v>53</v>
      </c>
      <c r="V140" s="3" t="s">
        <v>53</v>
      </c>
      <c r="W140" s="16">
        <v>70</v>
      </c>
      <c r="X140" s="16">
        <v>0</v>
      </c>
      <c r="Y140" s="16">
        <v>10</v>
      </c>
      <c r="Z140" s="3" t="s">
        <v>53</v>
      </c>
      <c r="AA140" s="15"/>
      <c r="AB140" s="3" t="s">
        <v>53</v>
      </c>
      <c r="AC140" s="3" t="s">
        <v>53</v>
      </c>
      <c r="AD140" s="3" t="s">
        <v>52</v>
      </c>
      <c r="AE140" s="16">
        <v>5</v>
      </c>
      <c r="AF140" s="3" t="s">
        <v>55</v>
      </c>
      <c r="AG140" s="3" t="s">
        <v>61</v>
      </c>
      <c r="AH140" s="3" t="s">
        <v>62</v>
      </c>
      <c r="AI140" s="3" t="s">
        <v>67</v>
      </c>
      <c r="AJ140" s="3" t="s">
        <v>70</v>
      </c>
      <c r="AK140" s="3" t="s">
        <v>64</v>
      </c>
      <c r="AL140" s="13">
        <f t="shared" si="26"/>
        <v>14</v>
      </c>
      <c r="AM140" s="15">
        <f t="shared" si="27"/>
        <v>0</v>
      </c>
      <c r="AN140" s="3">
        <f t="shared" si="28"/>
        <v>5</v>
      </c>
      <c r="AO140" s="3" t="str">
        <f t="shared" si="29"/>
        <v>No</v>
      </c>
      <c r="AP140" s="17">
        <f t="shared" si="30"/>
        <v>0.11111111111111116</v>
      </c>
      <c r="AQ140" s="17">
        <f t="shared" si="31"/>
        <v>5.4092553389459841E-2</v>
      </c>
      <c r="AR140" s="17">
        <f t="shared" si="32"/>
        <v>0.11111111111111116</v>
      </c>
      <c r="AS140" s="15">
        <f t="shared" si="33"/>
        <v>50000000</v>
      </c>
      <c r="AT140" s="17">
        <f t="shared" si="34"/>
        <v>0.1188</v>
      </c>
      <c r="AU140" s="17">
        <f t="shared" si="35"/>
        <v>0.12</v>
      </c>
      <c r="AV140" s="15">
        <f t="shared" si="36"/>
        <v>8000000</v>
      </c>
      <c r="AW140" s="18">
        <f t="shared" si="37"/>
        <v>0</v>
      </c>
      <c r="AX140" s="27" t="str">
        <f>IF(OR(K140&lt;Outlier_Audit!$H$2,K140&gt;Outlier_Audit!$I$2),"Review","Normal")</f>
        <v>Normal</v>
      </c>
      <c r="AY140" t="str">
        <f t="shared" si="38"/>
        <v>10-19 years</v>
      </c>
      <c r="AZ140" t="str">
        <f>IF(AQ140="","Missing",IF(AQ140&gt;=EDA_Performance!$B$7,"High Growth",IF(AQ140&lt;=EDA_Performance!$B$5,"Low Growth","Middle")))</f>
        <v>Middle</v>
      </c>
    </row>
    <row r="141" spans="1:52">
      <c r="A141" s="12">
        <v>1614495</v>
      </c>
      <c r="B141" s="3" t="s">
        <v>65</v>
      </c>
      <c r="C141" s="3" t="s">
        <v>50</v>
      </c>
      <c r="D141" s="13">
        <v>400</v>
      </c>
      <c r="E141" s="13">
        <v>1071</v>
      </c>
      <c r="F141" s="13">
        <v>10</v>
      </c>
      <c r="G141" s="3" t="s">
        <v>51</v>
      </c>
      <c r="H141" s="13">
        <v>2010</v>
      </c>
      <c r="I141" s="13">
        <v>10</v>
      </c>
      <c r="J141" s="14">
        <v>1.5688178539276123</v>
      </c>
      <c r="K141" s="15">
        <v>50000000000</v>
      </c>
      <c r="L141" s="15">
        <v>60000000000</v>
      </c>
      <c r="M141" s="16">
        <v>80</v>
      </c>
      <c r="N141" s="13">
        <v>150</v>
      </c>
      <c r="O141" s="13">
        <v>90</v>
      </c>
      <c r="P141" s="15">
        <v>1000000000</v>
      </c>
      <c r="Q141" s="15">
        <v>20000000000</v>
      </c>
      <c r="R141" s="15">
        <v>50000000000</v>
      </c>
      <c r="S141" s="16">
        <v>0</v>
      </c>
      <c r="T141" s="3" t="s">
        <v>52</v>
      </c>
      <c r="U141" s="3" t="s">
        <v>52</v>
      </c>
      <c r="V141" s="3" t="s">
        <v>52</v>
      </c>
      <c r="W141" s="16">
        <v>50</v>
      </c>
      <c r="X141" s="16">
        <v>20</v>
      </c>
      <c r="Y141" s="16">
        <v>30</v>
      </c>
      <c r="Z141" s="3" t="s">
        <v>52</v>
      </c>
      <c r="AA141" s="15">
        <v>25000000</v>
      </c>
      <c r="AB141" s="3" t="s">
        <v>53</v>
      </c>
      <c r="AC141" s="3" t="s">
        <v>53</v>
      </c>
      <c r="AD141" s="3" t="s">
        <v>52</v>
      </c>
      <c r="AE141" s="16">
        <v>30</v>
      </c>
      <c r="AF141" s="3" t="s">
        <v>62</v>
      </c>
      <c r="AG141" s="3" t="s">
        <v>62</v>
      </c>
      <c r="AH141" s="3" t="s">
        <v>67</v>
      </c>
      <c r="AI141" s="3" t="s">
        <v>54</v>
      </c>
      <c r="AJ141" s="3" t="s">
        <v>79</v>
      </c>
      <c r="AK141" s="3" t="s">
        <v>64</v>
      </c>
      <c r="AL141" s="13">
        <f t="shared" si="26"/>
        <v>14</v>
      </c>
      <c r="AM141" s="15">
        <f t="shared" si="27"/>
        <v>25000000</v>
      </c>
      <c r="AN141" s="3">
        <f t="shared" si="28"/>
        <v>30</v>
      </c>
      <c r="AO141" s="3" t="str">
        <f t="shared" si="29"/>
        <v>No</v>
      </c>
      <c r="AP141" s="17">
        <f t="shared" si="30"/>
        <v>-0.16666666666666663</v>
      </c>
      <c r="AQ141" s="17">
        <f t="shared" si="31"/>
        <v>-8.7129070824723098E-2</v>
      </c>
      <c r="AR141" s="17">
        <f t="shared" si="32"/>
        <v>0.66666666666666674</v>
      </c>
      <c r="AS141" s="15">
        <f t="shared" si="33"/>
        <v>333333333.33333331</v>
      </c>
      <c r="AT141" s="17">
        <f t="shared" si="34"/>
        <v>0.02</v>
      </c>
      <c r="AU141" s="17">
        <f t="shared" si="35"/>
        <v>0.4</v>
      </c>
      <c r="AV141" s="15">
        <f t="shared" si="36"/>
        <v>333333333.33333331</v>
      </c>
      <c r="AW141" s="18">
        <f t="shared" si="37"/>
        <v>5.0000000000000001E-4</v>
      </c>
      <c r="AX141" s="27" t="str">
        <f>IF(OR(K141&lt;Outlier_Audit!$H$2,K141&gt;Outlier_Audit!$I$2),"Review","Normal")</f>
        <v>Review</v>
      </c>
      <c r="AY141" t="str">
        <f t="shared" si="38"/>
        <v>10-19 years</v>
      </c>
      <c r="AZ141" t="str">
        <f>IF(AQ141="","Missing",IF(AQ141&gt;=EDA_Performance!$B$7,"High Growth",IF(AQ141&lt;=EDA_Performance!$B$5,"Low Growth","Middle")))</f>
        <v>Low Growth</v>
      </c>
    </row>
    <row r="142" spans="1:52">
      <c r="A142" s="12">
        <v>1614496</v>
      </c>
      <c r="B142" s="3" t="s">
        <v>49</v>
      </c>
      <c r="C142" s="3" t="s">
        <v>58</v>
      </c>
      <c r="D142" s="13">
        <v>8</v>
      </c>
      <c r="E142" s="13">
        <v>1071</v>
      </c>
      <c r="F142" s="13">
        <v>10</v>
      </c>
      <c r="G142" s="3" t="s">
        <v>51</v>
      </c>
      <c r="H142" s="13">
        <v>2016</v>
      </c>
      <c r="I142" s="13">
        <v>9</v>
      </c>
      <c r="J142" s="14">
        <v>7.8952765464782715</v>
      </c>
      <c r="K142" s="15">
        <v>38000000</v>
      </c>
      <c r="L142" s="15">
        <v>32650000</v>
      </c>
      <c r="M142" s="16">
        <v>50</v>
      </c>
      <c r="N142" s="13">
        <v>5</v>
      </c>
      <c r="O142" s="13">
        <v>5</v>
      </c>
      <c r="P142" s="15">
        <v>15000000</v>
      </c>
      <c r="Q142" s="15">
        <v>10000000</v>
      </c>
      <c r="R142" s="15">
        <v>18000000</v>
      </c>
      <c r="S142" s="16">
        <v>0</v>
      </c>
      <c r="T142" s="3" t="s">
        <v>60</v>
      </c>
      <c r="U142" s="3" t="s">
        <v>52</v>
      </c>
      <c r="V142" s="3" t="s">
        <v>53</v>
      </c>
      <c r="W142" s="16">
        <v>70</v>
      </c>
      <c r="X142" s="16">
        <v>0</v>
      </c>
      <c r="Y142" s="16">
        <v>0</v>
      </c>
      <c r="Z142" s="3" t="s">
        <v>53</v>
      </c>
      <c r="AA142" s="15"/>
      <c r="AB142" s="3" t="s">
        <v>53</v>
      </c>
      <c r="AC142" s="3" t="s">
        <v>53</v>
      </c>
      <c r="AD142" s="3" t="s">
        <v>52</v>
      </c>
      <c r="AE142" s="16">
        <v>4</v>
      </c>
      <c r="AF142" s="3" t="s">
        <v>55</v>
      </c>
      <c r="AG142" s="3" t="s">
        <v>55</v>
      </c>
      <c r="AH142" s="3" t="s">
        <v>62</v>
      </c>
      <c r="AI142" s="3" t="s">
        <v>54</v>
      </c>
      <c r="AJ142" s="3" t="s">
        <v>70</v>
      </c>
      <c r="AK142" s="3" t="s">
        <v>75</v>
      </c>
      <c r="AL142" s="13">
        <f t="shared" si="26"/>
        <v>8</v>
      </c>
      <c r="AM142" s="15">
        <f t="shared" si="27"/>
        <v>0</v>
      </c>
      <c r="AN142" s="3">
        <f t="shared" si="28"/>
        <v>4</v>
      </c>
      <c r="AO142" s="3" t="str">
        <f t="shared" si="29"/>
        <v>No</v>
      </c>
      <c r="AP142" s="17">
        <f t="shared" si="30"/>
        <v>0.16385911179173052</v>
      </c>
      <c r="AQ142" s="17">
        <f t="shared" si="31"/>
        <v>7.8823021533991344E-2</v>
      </c>
      <c r="AR142" s="17">
        <f t="shared" si="32"/>
        <v>0</v>
      </c>
      <c r="AS142" s="15">
        <f t="shared" si="33"/>
        <v>7600000</v>
      </c>
      <c r="AT142" s="17">
        <f t="shared" si="34"/>
        <v>0.39473684210526316</v>
      </c>
      <c r="AU142" s="17">
        <f t="shared" si="35"/>
        <v>0.26315789473684209</v>
      </c>
      <c r="AV142" s="15">
        <f t="shared" si="36"/>
        <v>3600000</v>
      </c>
      <c r="AW142" s="18">
        <f t="shared" si="37"/>
        <v>0</v>
      </c>
      <c r="AX142" s="27" t="str">
        <f>IF(OR(K142&lt;Outlier_Audit!$H$2,K142&gt;Outlier_Audit!$I$2),"Review","Normal")</f>
        <v>Normal</v>
      </c>
      <c r="AY142" t="str">
        <f t="shared" si="38"/>
        <v>&lt;10 years</v>
      </c>
      <c r="AZ142" t="str">
        <f>IF(AQ142="","Missing",IF(AQ142&gt;=EDA_Performance!$B$7,"High Growth",IF(AQ142&lt;=EDA_Performance!$B$5,"Low Growth","Middle")))</f>
        <v>Middle</v>
      </c>
    </row>
    <row r="143" spans="1:52">
      <c r="A143" s="12">
        <v>1614501</v>
      </c>
      <c r="B143" s="3" t="s">
        <v>80</v>
      </c>
      <c r="C143" s="3" t="s">
        <v>58</v>
      </c>
      <c r="D143" s="13">
        <v>80</v>
      </c>
      <c r="E143" s="13">
        <v>1040</v>
      </c>
      <c r="F143" s="13">
        <v>10</v>
      </c>
      <c r="G143" s="3" t="s">
        <v>51</v>
      </c>
      <c r="H143" s="13">
        <v>2011</v>
      </c>
      <c r="I143" s="13">
        <v>4</v>
      </c>
      <c r="J143" s="14">
        <v>1.6450884342193604</v>
      </c>
      <c r="K143" s="15">
        <v>400000000</v>
      </c>
      <c r="L143" s="15">
        <v>300000000</v>
      </c>
      <c r="M143" s="16">
        <v>80</v>
      </c>
      <c r="N143" s="13">
        <v>80</v>
      </c>
      <c r="O143" s="13">
        <v>60</v>
      </c>
      <c r="P143" s="15">
        <v>150000000</v>
      </c>
      <c r="Q143" s="15">
        <v>100000000</v>
      </c>
      <c r="R143" s="15">
        <v>800000000</v>
      </c>
      <c r="S143" s="16">
        <v>0</v>
      </c>
      <c r="T143" s="3" t="s">
        <v>52</v>
      </c>
      <c r="U143" s="3" t="s">
        <v>53</v>
      </c>
      <c r="V143" s="3" t="s">
        <v>53</v>
      </c>
      <c r="W143" s="16">
        <v>60</v>
      </c>
      <c r="X143" s="16">
        <v>0</v>
      </c>
      <c r="Y143" s="16">
        <v>30</v>
      </c>
      <c r="Z143" s="3" t="s">
        <v>53</v>
      </c>
      <c r="AA143" s="15"/>
      <c r="AB143" s="3" t="s">
        <v>53</v>
      </c>
      <c r="AC143" s="3" t="s">
        <v>53</v>
      </c>
      <c r="AD143" s="3" t="s">
        <v>52</v>
      </c>
      <c r="AE143" s="16">
        <v>4</v>
      </c>
      <c r="AF143" s="3" t="s">
        <v>54</v>
      </c>
      <c r="AG143" s="3" t="s">
        <v>67</v>
      </c>
      <c r="AH143" s="3" t="s">
        <v>67</v>
      </c>
      <c r="AI143" s="3" t="s">
        <v>62</v>
      </c>
      <c r="AJ143" s="3" t="s">
        <v>79</v>
      </c>
      <c r="AK143" s="3" t="s">
        <v>57</v>
      </c>
      <c r="AL143" s="13">
        <f t="shared" si="26"/>
        <v>13</v>
      </c>
      <c r="AM143" s="15">
        <f t="shared" si="27"/>
        <v>0</v>
      </c>
      <c r="AN143" s="3">
        <f t="shared" si="28"/>
        <v>4</v>
      </c>
      <c r="AO143" s="3" t="str">
        <f t="shared" si="29"/>
        <v>No</v>
      </c>
      <c r="AP143" s="17">
        <f t="shared" si="30"/>
        <v>0.33333333333333326</v>
      </c>
      <c r="AQ143" s="17">
        <f t="shared" si="31"/>
        <v>0.15470053837925146</v>
      </c>
      <c r="AR143" s="17">
        <f t="shared" si="32"/>
        <v>0.33333333333333326</v>
      </c>
      <c r="AS143" s="15">
        <f t="shared" si="33"/>
        <v>5000000</v>
      </c>
      <c r="AT143" s="17">
        <f t="shared" si="34"/>
        <v>0.375</v>
      </c>
      <c r="AU143" s="17">
        <f t="shared" si="35"/>
        <v>0.25</v>
      </c>
      <c r="AV143" s="15">
        <f t="shared" si="36"/>
        <v>10000000</v>
      </c>
      <c r="AW143" s="18">
        <f t="shared" si="37"/>
        <v>0</v>
      </c>
      <c r="AX143" s="27" t="str">
        <f>IF(OR(K143&lt;Outlier_Audit!$H$2,K143&gt;Outlier_Audit!$I$2),"Review","Normal")</f>
        <v>Normal</v>
      </c>
      <c r="AY143" t="str">
        <f t="shared" si="38"/>
        <v>10-19 years</v>
      </c>
      <c r="AZ143" t="str">
        <f>IF(AQ143="","Missing",IF(AQ143&gt;=EDA_Performance!$B$7,"High Growth",IF(AQ143&lt;=EDA_Performance!$B$5,"Low Growth","Middle")))</f>
        <v>Middle</v>
      </c>
    </row>
    <row r="144" spans="1:52">
      <c r="A144" s="12">
        <v>1614504</v>
      </c>
      <c r="B144" s="3" t="s">
        <v>80</v>
      </c>
      <c r="C144" s="3" t="s">
        <v>58</v>
      </c>
      <c r="D144" s="13">
        <v>15</v>
      </c>
      <c r="E144" s="13">
        <v>1040</v>
      </c>
      <c r="F144" s="13">
        <v>10</v>
      </c>
      <c r="G144" s="3" t="s">
        <v>51</v>
      </c>
      <c r="H144" s="13">
        <v>2013</v>
      </c>
      <c r="I144" s="13">
        <v>15</v>
      </c>
      <c r="J144" s="14">
        <v>1.6450884342193604</v>
      </c>
      <c r="K144" s="15">
        <v>100000000</v>
      </c>
      <c r="L144" s="15">
        <v>80000000</v>
      </c>
      <c r="M144" s="16">
        <v>100</v>
      </c>
      <c r="N144" s="13">
        <v>15</v>
      </c>
      <c r="O144" s="13">
        <v>6</v>
      </c>
      <c r="P144" s="15">
        <v>30000000</v>
      </c>
      <c r="Q144" s="15">
        <v>150000000</v>
      </c>
      <c r="R144" s="15">
        <v>300000000</v>
      </c>
      <c r="S144" s="16">
        <v>0</v>
      </c>
      <c r="T144" s="3" t="s">
        <v>60</v>
      </c>
      <c r="U144" s="3" t="s">
        <v>53</v>
      </c>
      <c r="V144" s="3" t="s">
        <v>53</v>
      </c>
      <c r="W144" s="16">
        <v>60</v>
      </c>
      <c r="X144" s="16">
        <v>0</v>
      </c>
      <c r="Y144" s="16">
        <v>20</v>
      </c>
      <c r="Z144" s="3" t="s">
        <v>52</v>
      </c>
      <c r="AA144" s="15">
        <v>25000000</v>
      </c>
      <c r="AB144" s="3" t="s">
        <v>53</v>
      </c>
      <c r="AC144" s="3" t="s">
        <v>53</v>
      </c>
      <c r="AD144" s="3" t="s">
        <v>52</v>
      </c>
      <c r="AE144" s="16">
        <v>4</v>
      </c>
      <c r="AF144" s="3" t="s">
        <v>54</v>
      </c>
      <c r="AG144" s="3" t="s">
        <v>55</v>
      </c>
      <c r="AH144" s="3" t="s">
        <v>62</v>
      </c>
      <c r="AI144" s="3" t="s">
        <v>61</v>
      </c>
      <c r="AJ144" s="3" t="s">
        <v>79</v>
      </c>
      <c r="AK144" s="3" t="s">
        <v>57</v>
      </c>
      <c r="AL144" s="13">
        <f t="shared" si="26"/>
        <v>11</v>
      </c>
      <c r="AM144" s="15">
        <f t="shared" si="27"/>
        <v>25000000</v>
      </c>
      <c r="AN144" s="3">
        <f t="shared" si="28"/>
        <v>4</v>
      </c>
      <c r="AO144" s="3" t="str">
        <f t="shared" si="29"/>
        <v>No</v>
      </c>
      <c r="AP144" s="17">
        <f t="shared" si="30"/>
        <v>0.25</v>
      </c>
      <c r="AQ144" s="17">
        <f t="shared" si="31"/>
        <v>0.1180339887498949</v>
      </c>
      <c r="AR144" s="17">
        <f t="shared" si="32"/>
        <v>1.5</v>
      </c>
      <c r="AS144" s="15">
        <f t="shared" si="33"/>
        <v>6666666.666666667</v>
      </c>
      <c r="AT144" s="17">
        <f t="shared" si="34"/>
        <v>0.3</v>
      </c>
      <c r="AU144" s="17">
        <f t="shared" si="35"/>
        <v>1.5</v>
      </c>
      <c r="AV144" s="15">
        <f t="shared" si="36"/>
        <v>20000000</v>
      </c>
      <c r="AW144" s="18">
        <f t="shared" si="37"/>
        <v>0.25</v>
      </c>
      <c r="AX144" s="27" t="str">
        <f>IF(OR(K144&lt;Outlier_Audit!$H$2,K144&gt;Outlier_Audit!$I$2),"Review","Normal")</f>
        <v>Normal</v>
      </c>
      <c r="AY144" t="str">
        <f t="shared" si="38"/>
        <v>10-19 years</v>
      </c>
      <c r="AZ144" t="str">
        <f>IF(AQ144="","Missing",IF(AQ144&gt;=EDA_Performance!$B$7,"High Growth",IF(AQ144&lt;=EDA_Performance!$B$5,"Low Growth","Middle")))</f>
        <v>Middle</v>
      </c>
    </row>
    <row r="145" spans="1:52">
      <c r="A145" s="12">
        <v>1614507</v>
      </c>
      <c r="B145" s="3" t="s">
        <v>74</v>
      </c>
      <c r="C145" s="3" t="s">
        <v>66</v>
      </c>
      <c r="D145" s="13">
        <v>20</v>
      </c>
      <c r="E145" s="13">
        <v>1071</v>
      </c>
      <c r="F145" s="13">
        <v>10</v>
      </c>
      <c r="G145" s="3" t="s">
        <v>51</v>
      </c>
      <c r="H145" s="13">
        <v>2021</v>
      </c>
      <c r="I145" s="13">
        <v>10</v>
      </c>
      <c r="J145" s="14">
        <v>1.6504706144332886</v>
      </c>
      <c r="K145" s="15">
        <v>444000000</v>
      </c>
      <c r="L145" s="15">
        <v>180000000</v>
      </c>
      <c r="M145" s="16">
        <v>50</v>
      </c>
      <c r="N145" s="13">
        <v>13</v>
      </c>
      <c r="O145" s="13">
        <v>13</v>
      </c>
      <c r="P145" s="15">
        <v>15000000</v>
      </c>
      <c r="Q145" s="15">
        <v>360000000</v>
      </c>
      <c r="R145" s="15">
        <v>45000000</v>
      </c>
      <c r="S145" s="16">
        <v>0</v>
      </c>
      <c r="T145" s="3" t="s">
        <v>52</v>
      </c>
      <c r="U145" s="3" t="s">
        <v>52</v>
      </c>
      <c r="V145" s="3" t="s">
        <v>52</v>
      </c>
      <c r="W145" s="16">
        <v>50</v>
      </c>
      <c r="X145" s="16">
        <v>0</v>
      </c>
      <c r="Y145" s="16">
        <v>30</v>
      </c>
      <c r="Z145" s="3" t="s">
        <v>53</v>
      </c>
      <c r="AA145" s="15"/>
      <c r="AB145" s="3" t="s">
        <v>52</v>
      </c>
      <c r="AC145" s="3" t="s">
        <v>53</v>
      </c>
      <c r="AD145" s="3" t="s">
        <v>53</v>
      </c>
      <c r="AE145" s="16"/>
      <c r="AF145" s="3" t="s">
        <v>61</v>
      </c>
      <c r="AG145" s="3" t="s">
        <v>55</v>
      </c>
      <c r="AH145" s="3" t="s">
        <v>54</v>
      </c>
      <c r="AI145" s="3" t="s">
        <v>54</v>
      </c>
      <c r="AJ145" s="3" t="s">
        <v>86</v>
      </c>
      <c r="AK145" s="3" t="s">
        <v>57</v>
      </c>
      <c r="AL145" s="13">
        <f t="shared" si="26"/>
        <v>3</v>
      </c>
      <c r="AM145" s="15">
        <f t="shared" si="27"/>
        <v>0</v>
      </c>
      <c r="AN145" s="3">
        <f t="shared" si="28"/>
        <v>0</v>
      </c>
      <c r="AO145" s="3" t="str">
        <f t="shared" si="29"/>
        <v>No</v>
      </c>
      <c r="AP145" s="17">
        <f t="shared" si="30"/>
        <v>1.4666666666666668</v>
      </c>
      <c r="AQ145" s="17">
        <f t="shared" si="31"/>
        <v>0.57056253191863293</v>
      </c>
      <c r="AR145" s="17">
        <f t="shared" si="32"/>
        <v>0</v>
      </c>
      <c r="AS145" s="15">
        <f t="shared" si="33"/>
        <v>34153846.153846152</v>
      </c>
      <c r="AT145" s="17">
        <f t="shared" si="34"/>
        <v>3.3783783783783786E-2</v>
      </c>
      <c r="AU145" s="17">
        <f t="shared" si="35"/>
        <v>0.81081081081081086</v>
      </c>
      <c r="AV145" s="15">
        <f t="shared" si="36"/>
        <v>3461538.4615384615</v>
      </c>
      <c r="AW145" s="18">
        <f t="shared" si="37"/>
        <v>0</v>
      </c>
      <c r="AX145" s="27" t="str">
        <f>IF(OR(K145&lt;Outlier_Audit!$H$2,K145&gt;Outlier_Audit!$I$2),"Review","Normal")</f>
        <v>Normal</v>
      </c>
      <c r="AY145" t="str">
        <f t="shared" si="38"/>
        <v>&lt;10 years</v>
      </c>
      <c r="AZ145" t="str">
        <f>IF(AQ145="","Missing",IF(AQ145&gt;=EDA_Performance!$B$7,"High Growth",IF(AQ145&lt;=EDA_Performance!$B$5,"Low Growth","Middle")))</f>
        <v>High Growth</v>
      </c>
    </row>
    <row r="146" spans="1:52">
      <c r="A146" s="12">
        <v>1614513</v>
      </c>
      <c r="B146" s="3" t="s">
        <v>65</v>
      </c>
      <c r="C146" s="3" t="s">
        <v>58</v>
      </c>
      <c r="D146" s="13">
        <v>6</v>
      </c>
      <c r="E146" s="13">
        <v>1410</v>
      </c>
      <c r="F146" s="13">
        <v>14</v>
      </c>
      <c r="G146" s="3" t="s">
        <v>59</v>
      </c>
      <c r="H146" s="13">
        <v>2007</v>
      </c>
      <c r="I146" s="13">
        <v>12</v>
      </c>
      <c r="J146" s="14">
        <v>259.94696044921875</v>
      </c>
      <c r="K146" s="15">
        <v>219000000</v>
      </c>
      <c r="L146" s="15">
        <v>113000000</v>
      </c>
      <c r="M146" s="16">
        <v>100</v>
      </c>
      <c r="N146" s="13">
        <v>6</v>
      </c>
      <c r="O146" s="13">
        <v>4</v>
      </c>
      <c r="P146" s="15">
        <v>4000000</v>
      </c>
      <c r="Q146" s="15">
        <v>100000000</v>
      </c>
      <c r="R146" s="15">
        <v>220000000</v>
      </c>
      <c r="S146" s="16">
        <v>0</v>
      </c>
      <c r="T146" s="3" t="s">
        <v>60</v>
      </c>
      <c r="U146" s="3" t="s">
        <v>53</v>
      </c>
      <c r="V146" s="3" t="s">
        <v>53</v>
      </c>
      <c r="W146" s="16">
        <v>20</v>
      </c>
      <c r="X146" s="16">
        <v>80</v>
      </c>
      <c r="Y146" s="16">
        <v>0</v>
      </c>
      <c r="Z146" s="3" t="s">
        <v>53</v>
      </c>
      <c r="AA146" s="15"/>
      <c r="AB146" s="3" t="s">
        <v>53</v>
      </c>
      <c r="AC146" s="3" t="s">
        <v>53</v>
      </c>
      <c r="AD146" s="3" t="s">
        <v>52</v>
      </c>
      <c r="AE146" s="16">
        <v>4</v>
      </c>
      <c r="AF146" s="3" t="s">
        <v>55</v>
      </c>
      <c r="AG146" s="3" t="s">
        <v>61</v>
      </c>
      <c r="AH146" s="3" t="s">
        <v>62</v>
      </c>
      <c r="AI146" s="3" t="s">
        <v>62</v>
      </c>
      <c r="AJ146" s="3" t="s">
        <v>70</v>
      </c>
      <c r="AK146" s="3" t="s">
        <v>75</v>
      </c>
      <c r="AL146" s="13">
        <f t="shared" si="26"/>
        <v>17</v>
      </c>
      <c r="AM146" s="15">
        <f t="shared" si="27"/>
        <v>0</v>
      </c>
      <c r="AN146" s="3">
        <f t="shared" si="28"/>
        <v>4</v>
      </c>
      <c r="AO146" s="3" t="str">
        <f t="shared" si="29"/>
        <v>No</v>
      </c>
      <c r="AP146" s="17">
        <f t="shared" si="30"/>
        <v>0.93805309734513265</v>
      </c>
      <c r="AQ146" s="17">
        <f t="shared" si="31"/>
        <v>0.39213975496181153</v>
      </c>
      <c r="AR146" s="17">
        <f t="shared" si="32"/>
        <v>0.5</v>
      </c>
      <c r="AS146" s="15">
        <f t="shared" si="33"/>
        <v>36500000</v>
      </c>
      <c r="AT146" s="17">
        <f t="shared" si="34"/>
        <v>1.8264840182648401E-2</v>
      </c>
      <c r="AU146" s="17">
        <f t="shared" si="35"/>
        <v>0.45662100456621002</v>
      </c>
      <c r="AV146" s="15">
        <f t="shared" si="36"/>
        <v>36666666.666666664</v>
      </c>
      <c r="AW146" s="18">
        <f t="shared" si="37"/>
        <v>0</v>
      </c>
      <c r="AX146" s="27" t="str">
        <f>IF(OR(K146&lt;Outlier_Audit!$H$2,K146&gt;Outlier_Audit!$I$2),"Review","Normal")</f>
        <v>Normal</v>
      </c>
      <c r="AY146" t="str">
        <f t="shared" si="38"/>
        <v>10-19 years</v>
      </c>
      <c r="AZ146" t="str">
        <f>IF(AQ146="","Missing",IF(AQ146&gt;=EDA_Performance!$B$7,"High Growth",IF(AQ146&lt;=EDA_Performance!$B$5,"Low Growth","Middle")))</f>
        <v>High Growth</v>
      </c>
    </row>
    <row r="147" spans="1:52">
      <c r="A147" s="12">
        <v>1614518</v>
      </c>
      <c r="B147" s="3" t="s">
        <v>80</v>
      </c>
      <c r="C147" s="3" t="s">
        <v>58</v>
      </c>
      <c r="D147" s="13">
        <v>55</v>
      </c>
      <c r="E147" s="13">
        <v>1071</v>
      </c>
      <c r="F147" s="13">
        <v>10</v>
      </c>
      <c r="G147" s="3" t="s">
        <v>51</v>
      </c>
      <c r="H147" s="13">
        <v>2014</v>
      </c>
      <c r="I147" s="13">
        <v>15</v>
      </c>
      <c r="J147" s="14">
        <v>1.6450884342193604</v>
      </c>
      <c r="K147" s="15">
        <v>3600000000</v>
      </c>
      <c r="L147" s="15"/>
      <c r="M147" s="16">
        <v>3</v>
      </c>
      <c r="N147" s="13">
        <v>6</v>
      </c>
      <c r="O147" s="13">
        <v>4</v>
      </c>
      <c r="P147" s="15">
        <v>144000000</v>
      </c>
      <c r="Q147" s="15">
        <v>2520000000</v>
      </c>
      <c r="R147" s="15">
        <v>300000000</v>
      </c>
      <c r="S147" s="16">
        <v>0</v>
      </c>
      <c r="T147" s="3" t="s">
        <v>52</v>
      </c>
      <c r="U147" s="3" t="s">
        <v>52</v>
      </c>
      <c r="V147" s="3" t="s">
        <v>52</v>
      </c>
      <c r="W147" s="16">
        <v>80</v>
      </c>
      <c r="X147" s="16">
        <v>0</v>
      </c>
      <c r="Y147" s="16">
        <v>10</v>
      </c>
      <c r="Z147" s="3" t="s">
        <v>52</v>
      </c>
      <c r="AA147" s="15">
        <v>150000000</v>
      </c>
      <c r="AB147" s="3" t="s">
        <v>53</v>
      </c>
      <c r="AC147" s="3" t="s">
        <v>53</v>
      </c>
      <c r="AD147" s="3" t="s">
        <v>52</v>
      </c>
      <c r="AE147" s="16">
        <v>0</v>
      </c>
      <c r="AF147" s="3" t="s">
        <v>55</v>
      </c>
      <c r="AG147" s="3" t="s">
        <v>55</v>
      </c>
      <c r="AH147" s="3" t="s">
        <v>54</v>
      </c>
      <c r="AI147" s="3" t="s">
        <v>54</v>
      </c>
      <c r="AJ147" s="3" t="s">
        <v>100</v>
      </c>
      <c r="AK147" s="3" t="s">
        <v>75</v>
      </c>
      <c r="AL147" s="13">
        <f t="shared" si="26"/>
        <v>10</v>
      </c>
      <c r="AM147" s="15">
        <f t="shared" si="27"/>
        <v>150000000</v>
      </c>
      <c r="AN147" s="3">
        <f t="shared" si="28"/>
        <v>0</v>
      </c>
      <c r="AO147" s="3" t="str">
        <f t="shared" si="29"/>
        <v>No</v>
      </c>
      <c r="AP147" s="17" t="str">
        <f t="shared" si="30"/>
        <v/>
      </c>
      <c r="AQ147" s="17" t="str">
        <f t="shared" si="31"/>
        <v/>
      </c>
      <c r="AR147" s="17">
        <f t="shared" si="32"/>
        <v>0.5</v>
      </c>
      <c r="AS147" s="15">
        <f t="shared" si="33"/>
        <v>600000000</v>
      </c>
      <c r="AT147" s="17">
        <f t="shared" si="34"/>
        <v>0.04</v>
      </c>
      <c r="AU147" s="17">
        <f t="shared" si="35"/>
        <v>0.7</v>
      </c>
      <c r="AV147" s="15">
        <f t="shared" si="36"/>
        <v>50000000</v>
      </c>
      <c r="AW147" s="18">
        <f t="shared" si="37"/>
        <v>4.1666666666666664E-2</v>
      </c>
      <c r="AX147" s="27" t="str">
        <f>IF(OR(K147&lt;Outlier_Audit!$H$2,K147&gt;Outlier_Audit!$I$2),"Review","Normal")</f>
        <v>Normal</v>
      </c>
      <c r="AY147" t="str">
        <f t="shared" si="38"/>
        <v>10-19 years</v>
      </c>
      <c r="AZ147" t="str">
        <f>IF(AQ147="","Missing",IF(AQ147&gt;=EDA_Performance!$B$7,"High Growth",IF(AQ147&lt;=EDA_Performance!$B$5,"Low Growth","Middle")))</f>
        <v>Missing</v>
      </c>
    </row>
    <row r="148" spans="1:52">
      <c r="A148" s="12">
        <v>1614519</v>
      </c>
      <c r="B148" s="3" t="s">
        <v>49</v>
      </c>
      <c r="C148" s="3" t="s">
        <v>66</v>
      </c>
      <c r="D148" s="13">
        <v>6</v>
      </c>
      <c r="E148" s="13">
        <v>2511</v>
      </c>
      <c r="F148" s="13">
        <v>25</v>
      </c>
      <c r="G148" s="3" t="s">
        <v>76</v>
      </c>
      <c r="H148" s="13">
        <v>2005</v>
      </c>
      <c r="I148" s="13">
        <v>30</v>
      </c>
      <c r="J148" s="14">
        <v>1.6637996435165405</v>
      </c>
      <c r="K148" s="15">
        <v>15000000</v>
      </c>
      <c r="L148" s="15">
        <v>12500000</v>
      </c>
      <c r="M148" s="16">
        <v>75</v>
      </c>
      <c r="N148" s="13">
        <v>3</v>
      </c>
      <c r="O148" s="13">
        <v>3</v>
      </c>
      <c r="P148" s="15">
        <v>7000000</v>
      </c>
      <c r="Q148" s="15">
        <v>9000000</v>
      </c>
      <c r="R148" s="15">
        <v>4000000</v>
      </c>
      <c r="S148" s="16">
        <v>0</v>
      </c>
      <c r="T148" s="3" t="s">
        <v>60</v>
      </c>
      <c r="U148" s="3" t="s">
        <v>52</v>
      </c>
      <c r="V148" s="3" t="s">
        <v>53</v>
      </c>
      <c r="W148" s="16">
        <v>60</v>
      </c>
      <c r="X148" s="16">
        <v>0</v>
      </c>
      <c r="Y148" s="16">
        <v>0</v>
      </c>
      <c r="Z148" s="3" t="s">
        <v>53</v>
      </c>
      <c r="AA148" s="15"/>
      <c r="AB148" s="3" t="s">
        <v>53</v>
      </c>
      <c r="AC148" s="3" t="s">
        <v>53</v>
      </c>
      <c r="AD148" s="3" t="s">
        <v>52</v>
      </c>
      <c r="AE148" s="16">
        <v>12</v>
      </c>
      <c r="AF148" s="3" t="s">
        <v>55</v>
      </c>
      <c r="AG148" s="3" t="s">
        <v>61</v>
      </c>
      <c r="AH148" s="3" t="s">
        <v>62</v>
      </c>
      <c r="AI148" s="3" t="s">
        <v>55</v>
      </c>
      <c r="AJ148" s="3" t="s">
        <v>70</v>
      </c>
      <c r="AK148" s="3" t="s">
        <v>75</v>
      </c>
      <c r="AL148" s="13">
        <f t="shared" si="26"/>
        <v>19</v>
      </c>
      <c r="AM148" s="15">
        <f t="shared" si="27"/>
        <v>0</v>
      </c>
      <c r="AN148" s="3">
        <f t="shared" si="28"/>
        <v>12</v>
      </c>
      <c r="AO148" s="3" t="str">
        <f t="shared" si="29"/>
        <v>No</v>
      </c>
      <c r="AP148" s="17">
        <f t="shared" si="30"/>
        <v>0.19999999999999996</v>
      </c>
      <c r="AQ148" s="17">
        <f t="shared" si="31"/>
        <v>9.5445115010332149E-2</v>
      </c>
      <c r="AR148" s="17">
        <f t="shared" si="32"/>
        <v>0</v>
      </c>
      <c r="AS148" s="15">
        <f t="shared" si="33"/>
        <v>5000000</v>
      </c>
      <c r="AT148" s="17">
        <f t="shared" si="34"/>
        <v>0.46666666666666667</v>
      </c>
      <c r="AU148" s="17">
        <f t="shared" si="35"/>
        <v>0.6</v>
      </c>
      <c r="AV148" s="15">
        <f t="shared" si="36"/>
        <v>1333333.3333333333</v>
      </c>
      <c r="AW148" s="18">
        <f t="shared" si="37"/>
        <v>0</v>
      </c>
      <c r="AX148" s="27" t="str">
        <f>IF(OR(K148&lt;Outlier_Audit!$H$2,K148&gt;Outlier_Audit!$I$2),"Review","Normal")</f>
        <v>Normal</v>
      </c>
      <c r="AY148" t="str">
        <f t="shared" si="38"/>
        <v>10-19 years</v>
      </c>
      <c r="AZ148" t="str">
        <f>IF(AQ148="","Missing",IF(AQ148&gt;=EDA_Performance!$B$7,"High Growth",IF(AQ148&lt;=EDA_Performance!$B$5,"Low Growth","Middle")))</f>
        <v>Middle</v>
      </c>
    </row>
    <row r="149" spans="1:52">
      <c r="A149" s="12">
        <v>1614520</v>
      </c>
      <c r="B149" s="3" t="s">
        <v>65</v>
      </c>
      <c r="C149" s="3" t="s">
        <v>50</v>
      </c>
      <c r="D149" s="13">
        <v>150</v>
      </c>
      <c r="E149" s="13">
        <v>1071</v>
      </c>
      <c r="F149" s="13">
        <v>10</v>
      </c>
      <c r="G149" s="3" t="s">
        <v>51</v>
      </c>
      <c r="H149" s="13">
        <v>2012</v>
      </c>
      <c r="I149" s="13">
        <v>20</v>
      </c>
      <c r="J149" s="14">
        <v>1.5688178539276123</v>
      </c>
      <c r="K149" s="15">
        <v>800000000</v>
      </c>
      <c r="L149" s="15">
        <v>150000000</v>
      </c>
      <c r="M149" s="16">
        <v>100</v>
      </c>
      <c r="N149" s="13">
        <v>150</v>
      </c>
      <c r="O149" s="13">
        <v>40</v>
      </c>
      <c r="P149" s="15">
        <v>400000000</v>
      </c>
      <c r="Q149" s="15">
        <v>150000000</v>
      </c>
      <c r="R149" s="15">
        <v>150000000000</v>
      </c>
      <c r="S149" s="16">
        <v>20</v>
      </c>
      <c r="T149" s="3" t="s">
        <v>52</v>
      </c>
      <c r="U149" s="3" t="s">
        <v>52</v>
      </c>
      <c r="V149" s="3" t="s">
        <v>53</v>
      </c>
      <c r="W149" s="16">
        <v>70</v>
      </c>
      <c r="X149" s="16">
        <v>0</v>
      </c>
      <c r="Y149" s="16">
        <v>0</v>
      </c>
      <c r="Z149" s="3" t="s">
        <v>53</v>
      </c>
      <c r="AA149" s="15"/>
      <c r="AB149" s="3" t="s">
        <v>53</v>
      </c>
      <c r="AC149" s="3" t="s">
        <v>53</v>
      </c>
      <c r="AD149" s="3" t="s">
        <v>52</v>
      </c>
      <c r="AE149" s="16">
        <v>4</v>
      </c>
      <c r="AF149" s="3" t="s">
        <v>62</v>
      </c>
      <c r="AG149" s="3" t="s">
        <v>67</v>
      </c>
      <c r="AH149" s="3" t="s">
        <v>62</v>
      </c>
      <c r="AI149" s="3" t="s">
        <v>62</v>
      </c>
      <c r="AJ149" s="3" t="s">
        <v>56</v>
      </c>
      <c r="AK149" s="3" t="s">
        <v>57</v>
      </c>
      <c r="AL149" s="13">
        <f t="shared" si="26"/>
        <v>12</v>
      </c>
      <c r="AM149" s="15">
        <f t="shared" si="27"/>
        <v>0</v>
      </c>
      <c r="AN149" s="3">
        <f t="shared" si="28"/>
        <v>4</v>
      </c>
      <c r="AO149" s="3" t="str">
        <f t="shared" si="29"/>
        <v>Yes</v>
      </c>
      <c r="AP149" s="17">
        <f t="shared" si="30"/>
        <v>4.333333333333333</v>
      </c>
      <c r="AQ149" s="17">
        <f t="shared" si="31"/>
        <v>1.3094010767585029</v>
      </c>
      <c r="AR149" s="17">
        <f t="shared" si="32"/>
        <v>2.75</v>
      </c>
      <c r="AS149" s="15">
        <f t="shared" si="33"/>
        <v>5333333.333333333</v>
      </c>
      <c r="AT149" s="17">
        <f t="shared" si="34"/>
        <v>0.5</v>
      </c>
      <c r="AU149" s="17">
        <f t="shared" si="35"/>
        <v>0.1875</v>
      </c>
      <c r="AV149" s="15">
        <f t="shared" si="36"/>
        <v>1000000000</v>
      </c>
      <c r="AW149" s="18">
        <f t="shared" si="37"/>
        <v>0</v>
      </c>
      <c r="AX149" s="27" t="str">
        <f>IF(OR(K149&lt;Outlier_Audit!$H$2,K149&gt;Outlier_Audit!$I$2),"Review","Normal")</f>
        <v>Normal</v>
      </c>
      <c r="AY149" t="str">
        <f t="shared" si="38"/>
        <v>10-19 years</v>
      </c>
      <c r="AZ149" t="str">
        <f>IF(AQ149="","Missing",IF(AQ149&gt;=EDA_Performance!$B$7,"High Growth",IF(AQ149&lt;=EDA_Performance!$B$5,"Low Growth","Middle")))</f>
        <v>High Growth</v>
      </c>
    </row>
    <row r="150" spans="1:52">
      <c r="A150" s="12">
        <v>1614522</v>
      </c>
      <c r="B150" s="3" t="s">
        <v>74</v>
      </c>
      <c r="C150" s="3" t="s">
        <v>50</v>
      </c>
      <c r="D150" s="13">
        <v>364</v>
      </c>
      <c r="E150" s="13">
        <v>1072</v>
      </c>
      <c r="F150" s="13">
        <v>10</v>
      </c>
      <c r="G150" s="3" t="s">
        <v>51</v>
      </c>
      <c r="H150" s="13">
        <v>2019</v>
      </c>
      <c r="I150" s="13">
        <v>10</v>
      </c>
      <c r="J150" s="14">
        <v>1.3089461326599121</v>
      </c>
      <c r="K150" s="15">
        <v>21000000000</v>
      </c>
      <c r="L150" s="15">
        <v>18000000000</v>
      </c>
      <c r="M150" s="16">
        <v>80</v>
      </c>
      <c r="N150" s="13">
        <v>262</v>
      </c>
      <c r="O150" s="13">
        <v>164</v>
      </c>
      <c r="P150" s="15">
        <v>1824000000</v>
      </c>
      <c r="Q150" s="15"/>
      <c r="R150" s="15">
        <v>10000000000</v>
      </c>
      <c r="S150" s="16">
        <v>20</v>
      </c>
      <c r="T150" s="3" t="s">
        <v>52</v>
      </c>
      <c r="U150" s="3" t="s">
        <v>52</v>
      </c>
      <c r="V150" s="3" t="s">
        <v>53</v>
      </c>
      <c r="W150" s="16">
        <v>60</v>
      </c>
      <c r="X150" s="16">
        <v>0</v>
      </c>
      <c r="Y150" s="16">
        <v>0</v>
      </c>
      <c r="Z150" s="3" t="s">
        <v>52</v>
      </c>
      <c r="AA150" s="15"/>
      <c r="AB150" s="3" t="s">
        <v>53</v>
      </c>
      <c r="AC150" s="3" t="s">
        <v>53</v>
      </c>
      <c r="AD150" s="3" t="s">
        <v>53</v>
      </c>
      <c r="AE150" s="16"/>
      <c r="AF150" s="3" t="s">
        <v>67</v>
      </c>
      <c r="AG150" s="3" t="s">
        <v>67</v>
      </c>
      <c r="AH150" s="3" t="s">
        <v>62</v>
      </c>
      <c r="AI150" s="3" t="s">
        <v>54</v>
      </c>
      <c r="AJ150" s="3" t="s">
        <v>79</v>
      </c>
      <c r="AK150" s="3" t="s">
        <v>57</v>
      </c>
      <c r="AL150" s="13">
        <f t="shared" si="26"/>
        <v>5</v>
      </c>
      <c r="AM150" s="15">
        <f t="shared" si="27"/>
        <v>0</v>
      </c>
      <c r="AN150" s="3">
        <f t="shared" si="28"/>
        <v>0</v>
      </c>
      <c r="AO150" s="3" t="str">
        <f t="shared" si="29"/>
        <v>Yes</v>
      </c>
      <c r="AP150" s="17">
        <f t="shared" si="30"/>
        <v>0.16666666666666674</v>
      </c>
      <c r="AQ150" s="17">
        <f t="shared" si="31"/>
        <v>8.012344973464347E-2</v>
      </c>
      <c r="AR150" s="17">
        <f t="shared" si="32"/>
        <v>0.59756097560975618</v>
      </c>
      <c r="AS150" s="15">
        <f t="shared" si="33"/>
        <v>80152671.75572519</v>
      </c>
      <c r="AT150" s="17">
        <f t="shared" si="34"/>
        <v>8.6857142857142855E-2</v>
      </c>
      <c r="AU150" s="17" t="str">
        <f t="shared" si="35"/>
        <v/>
      </c>
      <c r="AV150" s="15">
        <f t="shared" si="36"/>
        <v>38167938.931297712</v>
      </c>
      <c r="AW150" s="18">
        <f t="shared" si="37"/>
        <v>0</v>
      </c>
      <c r="AX150" s="27" t="str">
        <f>IF(OR(K150&lt;Outlier_Audit!$H$2,K150&gt;Outlier_Audit!$I$2),"Review","Normal")</f>
        <v>Review</v>
      </c>
      <c r="AY150" t="str">
        <f t="shared" si="38"/>
        <v>&lt;10 years</v>
      </c>
      <c r="AZ150" t="str">
        <f>IF(AQ150="","Missing",IF(AQ150&gt;=EDA_Performance!$B$7,"High Growth",IF(AQ150&lt;=EDA_Performance!$B$5,"Low Growth","Middle")))</f>
        <v>Middle</v>
      </c>
    </row>
    <row r="151" spans="1:52">
      <c r="A151" s="12">
        <v>1614523</v>
      </c>
      <c r="B151" s="3" t="s">
        <v>49</v>
      </c>
      <c r="C151" s="3" t="s">
        <v>58</v>
      </c>
      <c r="D151" s="13">
        <v>6</v>
      </c>
      <c r="E151" s="13">
        <v>2511</v>
      </c>
      <c r="F151" s="13">
        <v>25</v>
      </c>
      <c r="G151" s="3" t="s">
        <v>76</v>
      </c>
      <c r="H151" s="13">
        <v>2006</v>
      </c>
      <c r="I151" s="13">
        <v>27</v>
      </c>
      <c r="J151" s="14">
        <v>68.513816833496094</v>
      </c>
      <c r="K151" s="15">
        <v>26000000</v>
      </c>
      <c r="L151" s="15">
        <v>28000000</v>
      </c>
      <c r="M151" s="16">
        <v>100</v>
      </c>
      <c r="N151" s="13">
        <v>6</v>
      </c>
      <c r="O151" s="13">
        <v>8</v>
      </c>
      <c r="P151" s="15">
        <v>7200000</v>
      </c>
      <c r="Q151" s="15">
        <v>18000000</v>
      </c>
      <c r="R151" s="15">
        <v>8000000</v>
      </c>
      <c r="S151" s="16">
        <v>0</v>
      </c>
      <c r="T151" s="3" t="s">
        <v>60</v>
      </c>
      <c r="U151" s="3" t="s">
        <v>53</v>
      </c>
      <c r="V151" s="3" t="s">
        <v>53</v>
      </c>
      <c r="W151" s="16">
        <v>80</v>
      </c>
      <c r="X151" s="16">
        <v>0</v>
      </c>
      <c r="Y151" s="16">
        <v>0</v>
      </c>
      <c r="Z151" s="3" t="s">
        <v>53</v>
      </c>
      <c r="AA151" s="15"/>
      <c r="AB151" s="3" t="s">
        <v>53</v>
      </c>
      <c r="AC151" s="3" t="s">
        <v>53</v>
      </c>
      <c r="AD151" s="3" t="s">
        <v>52</v>
      </c>
      <c r="AE151" s="16">
        <v>11</v>
      </c>
      <c r="AF151" s="3" t="s">
        <v>55</v>
      </c>
      <c r="AG151" s="3" t="s">
        <v>61</v>
      </c>
      <c r="AH151" s="3" t="s">
        <v>67</v>
      </c>
      <c r="AI151" s="3" t="s">
        <v>55</v>
      </c>
      <c r="AJ151" s="3" t="s">
        <v>70</v>
      </c>
      <c r="AK151" s="3" t="s">
        <v>57</v>
      </c>
      <c r="AL151" s="13">
        <f t="shared" si="26"/>
        <v>18</v>
      </c>
      <c r="AM151" s="15">
        <f t="shared" si="27"/>
        <v>0</v>
      </c>
      <c r="AN151" s="3">
        <f t="shared" si="28"/>
        <v>11</v>
      </c>
      <c r="AO151" s="3" t="str">
        <f t="shared" si="29"/>
        <v>No</v>
      </c>
      <c r="AP151" s="17">
        <f t="shared" si="30"/>
        <v>-7.1428571428571397E-2</v>
      </c>
      <c r="AQ151" s="17">
        <f t="shared" si="31"/>
        <v>-3.6375888340568485E-2</v>
      </c>
      <c r="AR151" s="17">
        <f t="shared" si="32"/>
        <v>-0.25</v>
      </c>
      <c r="AS151" s="15">
        <f t="shared" si="33"/>
        <v>4333333.333333333</v>
      </c>
      <c r="AT151" s="17">
        <f t="shared" si="34"/>
        <v>0.27692307692307694</v>
      </c>
      <c r="AU151" s="17">
        <f t="shared" si="35"/>
        <v>0.69230769230769229</v>
      </c>
      <c r="AV151" s="15">
        <f t="shared" si="36"/>
        <v>1333333.3333333333</v>
      </c>
      <c r="AW151" s="18">
        <f t="shared" si="37"/>
        <v>0</v>
      </c>
      <c r="AX151" s="27" t="str">
        <f>IF(OR(K151&lt;Outlier_Audit!$H$2,K151&gt;Outlier_Audit!$I$2),"Review","Normal")</f>
        <v>Normal</v>
      </c>
      <c r="AY151" t="str">
        <f t="shared" si="38"/>
        <v>10-19 years</v>
      </c>
      <c r="AZ151" t="str">
        <f>IF(AQ151="","Missing",IF(AQ151&gt;=EDA_Performance!$B$7,"High Growth",IF(AQ151&lt;=EDA_Performance!$B$5,"Low Growth","Middle")))</f>
        <v>Low Growth</v>
      </c>
    </row>
    <row r="152" spans="1:52">
      <c r="A152" s="12">
        <v>1614524</v>
      </c>
      <c r="B152" s="3" t="s">
        <v>74</v>
      </c>
      <c r="C152" s="3" t="s">
        <v>66</v>
      </c>
      <c r="D152" s="13">
        <v>175</v>
      </c>
      <c r="E152" s="13">
        <v>1061</v>
      </c>
      <c r="F152" s="13">
        <v>10</v>
      </c>
      <c r="G152" s="3" t="s">
        <v>51</v>
      </c>
      <c r="H152" s="13">
        <v>2013</v>
      </c>
      <c r="I152" s="13"/>
      <c r="J152" s="14">
        <v>1.6504706144332886</v>
      </c>
      <c r="K152" s="15"/>
      <c r="L152" s="15"/>
      <c r="M152" s="16">
        <v>85</v>
      </c>
      <c r="N152" s="13">
        <v>25</v>
      </c>
      <c r="O152" s="13">
        <v>25</v>
      </c>
      <c r="P152" s="15"/>
      <c r="Q152" s="15"/>
      <c r="R152" s="15"/>
      <c r="S152" s="16">
        <v>15</v>
      </c>
      <c r="T152" s="3" t="s">
        <v>52</v>
      </c>
      <c r="U152" s="3" t="s">
        <v>53</v>
      </c>
      <c r="V152" s="3" t="s">
        <v>53</v>
      </c>
      <c r="W152" s="16"/>
      <c r="X152" s="16"/>
      <c r="Y152" s="16"/>
      <c r="Z152" s="3" t="s">
        <v>52</v>
      </c>
      <c r="AA152" s="15"/>
      <c r="AB152" s="3" t="s">
        <v>52</v>
      </c>
      <c r="AC152" s="3" t="s">
        <v>52</v>
      </c>
      <c r="AD152" s="3" t="s">
        <v>52</v>
      </c>
      <c r="AE152" s="16"/>
      <c r="AF152" s="3" t="s">
        <v>67</v>
      </c>
      <c r="AG152" s="3" t="s">
        <v>67</v>
      </c>
      <c r="AH152" s="3" t="s">
        <v>67</v>
      </c>
      <c r="AI152" s="3" t="s">
        <v>62</v>
      </c>
      <c r="AJ152" s="3" t="s">
        <v>86</v>
      </c>
      <c r="AK152" s="3" t="s">
        <v>75</v>
      </c>
      <c r="AL152" s="13">
        <f t="shared" si="26"/>
        <v>11</v>
      </c>
      <c r="AM152" s="15">
        <f t="shared" si="27"/>
        <v>0</v>
      </c>
      <c r="AN152" s="3">
        <f t="shared" si="28"/>
        <v>0</v>
      </c>
      <c r="AO152" s="3" t="str">
        <f t="shared" si="29"/>
        <v>Yes</v>
      </c>
      <c r="AP152" s="17" t="str">
        <f t="shared" si="30"/>
        <v/>
      </c>
      <c r="AQ152" s="17" t="str">
        <f t="shared" si="31"/>
        <v/>
      </c>
      <c r="AR152" s="17">
        <f t="shared" si="32"/>
        <v>0</v>
      </c>
      <c r="AS152" s="15" t="str">
        <f t="shared" si="33"/>
        <v/>
      </c>
      <c r="AT152" s="17" t="str">
        <f t="shared" si="34"/>
        <v/>
      </c>
      <c r="AU152" s="17" t="str">
        <f t="shared" si="35"/>
        <v/>
      </c>
      <c r="AV152" s="15" t="str">
        <f t="shared" si="36"/>
        <v/>
      </c>
      <c r="AW152" s="18" t="str">
        <f t="shared" si="37"/>
        <v/>
      </c>
      <c r="AX152" s="27" t="str">
        <f>IF(OR(K152&lt;Outlier_Audit!$H$2,K152&gt;Outlier_Audit!$I$2),"Review","Normal")</f>
        <v>Normal</v>
      </c>
      <c r="AY152" t="str">
        <f t="shared" si="38"/>
        <v>10-19 years</v>
      </c>
      <c r="AZ152" t="str">
        <f>IF(AQ152="","Missing",IF(AQ152&gt;=EDA_Performance!$B$7,"High Growth",IF(AQ152&lt;=EDA_Performance!$B$5,"Low Growth","Middle")))</f>
        <v>Missing</v>
      </c>
    </row>
    <row r="153" spans="1:52">
      <c r="A153" s="12">
        <v>1614525</v>
      </c>
      <c r="B153" s="3" t="s">
        <v>65</v>
      </c>
      <c r="C153" s="3" t="s">
        <v>50</v>
      </c>
      <c r="D153" s="13">
        <v>350</v>
      </c>
      <c r="E153" s="13">
        <v>2410</v>
      </c>
      <c r="F153" s="13">
        <v>24</v>
      </c>
      <c r="G153" s="3" t="s">
        <v>73</v>
      </c>
      <c r="H153" s="13">
        <v>2000</v>
      </c>
      <c r="I153" s="13">
        <v>25</v>
      </c>
      <c r="J153" s="14">
        <v>1.5749640464782715</v>
      </c>
      <c r="K153" s="15">
        <v>365000000000</v>
      </c>
      <c r="L153" s="15">
        <v>255500000000</v>
      </c>
      <c r="M153" s="16">
        <v>15</v>
      </c>
      <c r="N153" s="13">
        <v>350</v>
      </c>
      <c r="O153" s="13">
        <v>245</v>
      </c>
      <c r="P153" s="15">
        <v>24000000000</v>
      </c>
      <c r="Q153" s="15">
        <v>350000000000</v>
      </c>
      <c r="R153" s="15">
        <v>100000000000</v>
      </c>
      <c r="S153" s="16">
        <v>15</v>
      </c>
      <c r="T153" s="3" t="s">
        <v>52</v>
      </c>
      <c r="U153" s="3" t="s">
        <v>53</v>
      </c>
      <c r="V153" s="3" t="s">
        <v>53</v>
      </c>
      <c r="W153" s="16">
        <v>80</v>
      </c>
      <c r="X153" s="16">
        <v>0</v>
      </c>
      <c r="Y153" s="16">
        <v>0</v>
      </c>
      <c r="Z153" s="3" t="s">
        <v>53</v>
      </c>
      <c r="AA153" s="15"/>
      <c r="AB153" s="3" t="s">
        <v>53</v>
      </c>
      <c r="AC153" s="3" t="s">
        <v>53</v>
      </c>
      <c r="AD153" s="3"/>
      <c r="AE153" s="16"/>
      <c r="AF153" s="3" t="s">
        <v>61</v>
      </c>
      <c r="AG153" s="3" t="s">
        <v>62</v>
      </c>
      <c r="AH153" s="3" t="s">
        <v>67</v>
      </c>
      <c r="AI153" s="3" t="s">
        <v>67</v>
      </c>
      <c r="AJ153" s="3" t="s">
        <v>63</v>
      </c>
      <c r="AK153" s="3" t="s">
        <v>75</v>
      </c>
      <c r="AL153" s="13">
        <f t="shared" si="26"/>
        <v>24</v>
      </c>
      <c r="AM153" s="15">
        <f t="shared" si="27"/>
        <v>0</v>
      </c>
      <c r="AN153" s="3" t="str">
        <f t="shared" si="28"/>
        <v/>
      </c>
      <c r="AO153" s="3" t="str">
        <f t="shared" si="29"/>
        <v>Yes</v>
      </c>
      <c r="AP153" s="17">
        <f t="shared" si="30"/>
        <v>0.4285714285714286</v>
      </c>
      <c r="AQ153" s="17">
        <f t="shared" si="31"/>
        <v>0.19522860933439357</v>
      </c>
      <c r="AR153" s="17">
        <f t="shared" si="32"/>
        <v>0.4285714285714286</v>
      </c>
      <c r="AS153" s="15">
        <f t="shared" si="33"/>
        <v>1042857142.8571428</v>
      </c>
      <c r="AT153" s="17">
        <f t="shared" si="34"/>
        <v>6.575342465753424E-2</v>
      </c>
      <c r="AU153" s="17">
        <f t="shared" si="35"/>
        <v>0.95890410958904104</v>
      </c>
      <c r="AV153" s="15">
        <f t="shared" si="36"/>
        <v>285714285.71428573</v>
      </c>
      <c r="AW153" s="18">
        <f t="shared" si="37"/>
        <v>0</v>
      </c>
      <c r="AX153" s="27" t="str">
        <f>IF(OR(K153&lt;Outlier_Audit!$H$2,K153&gt;Outlier_Audit!$I$2),"Review","Normal")</f>
        <v>Review</v>
      </c>
      <c r="AY153" t="str">
        <f t="shared" si="38"/>
        <v>20-29 years</v>
      </c>
      <c r="AZ153" t="str">
        <f>IF(AQ153="","Missing",IF(AQ153&gt;=EDA_Performance!$B$7,"High Growth",IF(AQ153&lt;=EDA_Performance!$B$5,"Low Growth","Middle")))</f>
        <v>Middle</v>
      </c>
    </row>
    <row r="154" spans="1:52">
      <c r="A154" s="12">
        <v>1614527</v>
      </c>
      <c r="B154" s="3" t="s">
        <v>65</v>
      </c>
      <c r="C154" s="3" t="s">
        <v>50</v>
      </c>
      <c r="D154" s="13">
        <v>200</v>
      </c>
      <c r="E154" s="13">
        <v>2392</v>
      </c>
      <c r="F154" s="13">
        <v>23</v>
      </c>
      <c r="G154" s="3" t="s">
        <v>83</v>
      </c>
      <c r="H154" s="13">
        <v>2003</v>
      </c>
      <c r="I154" s="13">
        <v>26</v>
      </c>
      <c r="J154" s="14">
        <v>1.5749640464782715</v>
      </c>
      <c r="K154" s="15">
        <v>3000000000</v>
      </c>
      <c r="L154" s="15">
        <v>2000000000</v>
      </c>
      <c r="M154" s="16">
        <v>98</v>
      </c>
      <c r="N154" s="13">
        <v>200</v>
      </c>
      <c r="O154" s="13">
        <v>100</v>
      </c>
      <c r="P154" s="15">
        <v>380000000</v>
      </c>
      <c r="Q154" s="15">
        <v>1800000000</v>
      </c>
      <c r="R154" s="15">
        <v>7000000000</v>
      </c>
      <c r="S154" s="16">
        <v>0</v>
      </c>
      <c r="T154" s="3" t="s">
        <v>52</v>
      </c>
      <c r="U154" s="3" t="s">
        <v>52</v>
      </c>
      <c r="V154" s="3" t="s">
        <v>53</v>
      </c>
      <c r="W154" s="16">
        <v>70</v>
      </c>
      <c r="X154" s="16">
        <v>0</v>
      </c>
      <c r="Y154" s="16">
        <v>20</v>
      </c>
      <c r="Z154" s="3" t="s">
        <v>53</v>
      </c>
      <c r="AA154" s="15"/>
      <c r="AB154" s="3" t="s">
        <v>53</v>
      </c>
      <c r="AC154" s="3" t="s">
        <v>53</v>
      </c>
      <c r="AD154" s="3" t="s">
        <v>52</v>
      </c>
      <c r="AE154" s="16">
        <v>6</v>
      </c>
      <c r="AF154" s="3" t="s">
        <v>62</v>
      </c>
      <c r="AG154" s="3" t="s">
        <v>67</v>
      </c>
      <c r="AH154" s="3" t="s">
        <v>62</v>
      </c>
      <c r="AI154" s="3" t="s">
        <v>62</v>
      </c>
      <c r="AJ154" s="3" t="s">
        <v>56</v>
      </c>
      <c r="AK154" s="3" t="s">
        <v>57</v>
      </c>
      <c r="AL154" s="13">
        <f t="shared" si="26"/>
        <v>21</v>
      </c>
      <c r="AM154" s="15">
        <f t="shared" si="27"/>
        <v>0</v>
      </c>
      <c r="AN154" s="3">
        <f t="shared" si="28"/>
        <v>6</v>
      </c>
      <c r="AO154" s="3" t="str">
        <f t="shared" si="29"/>
        <v>No</v>
      </c>
      <c r="AP154" s="17">
        <f t="shared" si="30"/>
        <v>0.5</v>
      </c>
      <c r="AQ154" s="17">
        <f t="shared" si="31"/>
        <v>0.22474487139158894</v>
      </c>
      <c r="AR154" s="17">
        <f t="shared" si="32"/>
        <v>1</v>
      </c>
      <c r="AS154" s="15">
        <f t="shared" si="33"/>
        <v>15000000</v>
      </c>
      <c r="AT154" s="17">
        <f t="shared" si="34"/>
        <v>0.12666666666666668</v>
      </c>
      <c r="AU154" s="17">
        <f t="shared" si="35"/>
        <v>0.6</v>
      </c>
      <c r="AV154" s="15">
        <f t="shared" si="36"/>
        <v>35000000</v>
      </c>
      <c r="AW154" s="18">
        <f t="shared" si="37"/>
        <v>0</v>
      </c>
      <c r="AX154" s="27" t="str">
        <f>IF(OR(K154&lt;Outlier_Audit!$H$2,K154&gt;Outlier_Audit!$I$2),"Review","Normal")</f>
        <v>Normal</v>
      </c>
      <c r="AY154" t="str">
        <f t="shared" si="38"/>
        <v>20-29 years</v>
      </c>
      <c r="AZ154" t="str">
        <f>IF(AQ154="","Missing",IF(AQ154&gt;=EDA_Performance!$B$7,"High Growth",IF(AQ154&lt;=EDA_Performance!$B$5,"Low Growth","Middle")))</f>
        <v>Middle</v>
      </c>
    </row>
    <row r="155" spans="1:52">
      <c r="A155" s="12">
        <v>1614531</v>
      </c>
      <c r="B155" s="3" t="s">
        <v>65</v>
      </c>
      <c r="C155" s="3" t="s">
        <v>58</v>
      </c>
      <c r="D155" s="13">
        <v>15</v>
      </c>
      <c r="E155" s="13">
        <v>1079</v>
      </c>
      <c r="F155" s="13">
        <v>10</v>
      </c>
      <c r="G155" s="3" t="s">
        <v>51</v>
      </c>
      <c r="H155" s="13">
        <v>1999</v>
      </c>
      <c r="I155" s="13">
        <v>20</v>
      </c>
      <c r="J155" s="14">
        <v>30.085899353027344</v>
      </c>
      <c r="K155" s="15">
        <v>300000000</v>
      </c>
      <c r="L155" s="15">
        <v>150000000</v>
      </c>
      <c r="M155" s="16">
        <v>90</v>
      </c>
      <c r="N155" s="13">
        <v>15</v>
      </c>
      <c r="O155" s="13">
        <v>6</v>
      </c>
      <c r="P155" s="15">
        <v>95000000</v>
      </c>
      <c r="Q155" s="15">
        <v>200000000</v>
      </c>
      <c r="R155" s="15">
        <v>500000000</v>
      </c>
      <c r="S155" s="16">
        <v>0</v>
      </c>
      <c r="T155" s="3" t="s">
        <v>60</v>
      </c>
      <c r="U155" s="3" t="s">
        <v>53</v>
      </c>
      <c r="V155" s="3" t="s">
        <v>53</v>
      </c>
      <c r="W155" s="16">
        <v>60</v>
      </c>
      <c r="X155" s="16">
        <v>0</v>
      </c>
      <c r="Y155" s="16">
        <v>40</v>
      </c>
      <c r="Z155" s="3" t="s">
        <v>53</v>
      </c>
      <c r="AA155" s="15"/>
      <c r="AB155" s="3" t="s">
        <v>53</v>
      </c>
      <c r="AC155" s="3" t="s">
        <v>53</v>
      </c>
      <c r="AD155" s="3" t="s">
        <v>53</v>
      </c>
      <c r="AE155" s="16"/>
      <c r="AF155" s="3" t="s">
        <v>67</v>
      </c>
      <c r="AG155" s="3" t="s">
        <v>67</v>
      </c>
      <c r="AH155" s="3" t="s">
        <v>67</v>
      </c>
      <c r="AI155" s="3" t="s">
        <v>67</v>
      </c>
      <c r="AJ155" s="3" t="s">
        <v>56</v>
      </c>
      <c r="AK155" s="3" t="s">
        <v>57</v>
      </c>
      <c r="AL155" s="13">
        <f t="shared" si="26"/>
        <v>25</v>
      </c>
      <c r="AM155" s="15">
        <f t="shared" si="27"/>
        <v>0</v>
      </c>
      <c r="AN155" s="3">
        <f t="shared" si="28"/>
        <v>0</v>
      </c>
      <c r="AO155" s="3" t="str">
        <f t="shared" si="29"/>
        <v>No</v>
      </c>
      <c r="AP155" s="17">
        <f t="shared" si="30"/>
        <v>1</v>
      </c>
      <c r="AQ155" s="17">
        <f t="shared" si="31"/>
        <v>0.41421356237309515</v>
      </c>
      <c r="AR155" s="17">
        <f t="shared" si="32"/>
        <v>1.5</v>
      </c>
      <c r="AS155" s="15">
        <f t="shared" si="33"/>
        <v>20000000</v>
      </c>
      <c r="AT155" s="17">
        <f t="shared" si="34"/>
        <v>0.31666666666666665</v>
      </c>
      <c r="AU155" s="17">
        <f t="shared" si="35"/>
        <v>0.66666666666666663</v>
      </c>
      <c r="AV155" s="15">
        <f t="shared" si="36"/>
        <v>33333333.333333332</v>
      </c>
      <c r="AW155" s="18">
        <f t="shared" si="37"/>
        <v>0</v>
      </c>
      <c r="AX155" s="27" t="str">
        <f>IF(OR(K155&lt;Outlier_Audit!$H$2,K155&gt;Outlier_Audit!$I$2),"Review","Normal")</f>
        <v>Normal</v>
      </c>
      <c r="AY155" t="str">
        <f t="shared" si="38"/>
        <v>20-29 years</v>
      </c>
      <c r="AZ155" t="str">
        <f>IF(AQ155="","Missing",IF(AQ155&gt;=EDA_Performance!$B$7,"High Growth",IF(AQ155&lt;=EDA_Performance!$B$5,"Low Growth","Middle")))</f>
        <v>High Growth</v>
      </c>
    </row>
    <row r="156" spans="1:52">
      <c r="A156" s="12">
        <v>1614533</v>
      </c>
      <c r="B156" s="3" t="s">
        <v>74</v>
      </c>
      <c r="C156" s="3" t="s">
        <v>58</v>
      </c>
      <c r="D156" s="13">
        <v>10</v>
      </c>
      <c r="E156" s="13">
        <v>2511</v>
      </c>
      <c r="F156" s="13">
        <v>25</v>
      </c>
      <c r="G156" s="3" t="s">
        <v>76</v>
      </c>
      <c r="H156" s="13">
        <v>2021</v>
      </c>
      <c r="I156" s="13">
        <v>10</v>
      </c>
      <c r="J156" s="14">
        <v>64.973602294921875</v>
      </c>
      <c r="K156" s="15">
        <v>45000000</v>
      </c>
      <c r="L156" s="15">
        <v>30000000</v>
      </c>
      <c r="M156" s="16">
        <v>3</v>
      </c>
      <c r="N156" s="13">
        <v>8</v>
      </c>
      <c r="O156" s="13">
        <v>6</v>
      </c>
      <c r="P156" s="15">
        <v>1000000</v>
      </c>
      <c r="Q156" s="15">
        <v>30000000</v>
      </c>
      <c r="R156" s="15">
        <v>13500000</v>
      </c>
      <c r="S156" s="16">
        <v>0</v>
      </c>
      <c r="T156" s="3" t="s">
        <v>60</v>
      </c>
      <c r="U156" s="3" t="s">
        <v>52</v>
      </c>
      <c r="V156" s="3" t="s">
        <v>52</v>
      </c>
      <c r="W156" s="16">
        <v>40</v>
      </c>
      <c r="X156" s="16">
        <v>20</v>
      </c>
      <c r="Y156" s="16">
        <v>40</v>
      </c>
      <c r="Z156" s="3" t="s">
        <v>52</v>
      </c>
      <c r="AA156" s="15">
        <v>19000000</v>
      </c>
      <c r="AB156" s="3" t="s">
        <v>52</v>
      </c>
      <c r="AC156" s="3" t="s">
        <v>52</v>
      </c>
      <c r="AD156" s="3" t="s">
        <v>52</v>
      </c>
      <c r="AE156" s="16">
        <v>12</v>
      </c>
      <c r="AF156" s="3" t="s">
        <v>55</v>
      </c>
      <c r="AG156" s="3" t="s">
        <v>62</v>
      </c>
      <c r="AH156" s="3" t="s">
        <v>55</v>
      </c>
      <c r="AI156" s="3" t="s">
        <v>55</v>
      </c>
      <c r="AJ156" s="3" t="s">
        <v>81</v>
      </c>
      <c r="AK156" s="3" t="s">
        <v>75</v>
      </c>
      <c r="AL156" s="13">
        <f t="shared" si="26"/>
        <v>3</v>
      </c>
      <c r="AM156" s="15">
        <f t="shared" si="27"/>
        <v>19000000</v>
      </c>
      <c r="AN156" s="3">
        <f t="shared" si="28"/>
        <v>12</v>
      </c>
      <c r="AO156" s="3" t="str">
        <f t="shared" si="29"/>
        <v>No</v>
      </c>
      <c r="AP156" s="17">
        <f t="shared" si="30"/>
        <v>0.5</v>
      </c>
      <c r="AQ156" s="17">
        <f t="shared" si="31"/>
        <v>0.22474487139158894</v>
      </c>
      <c r="AR156" s="17">
        <f t="shared" si="32"/>
        <v>0.33333333333333326</v>
      </c>
      <c r="AS156" s="15">
        <f t="shared" si="33"/>
        <v>5625000</v>
      </c>
      <c r="AT156" s="17">
        <f t="shared" si="34"/>
        <v>2.2222222222222223E-2</v>
      </c>
      <c r="AU156" s="17">
        <f t="shared" si="35"/>
        <v>0.66666666666666663</v>
      </c>
      <c r="AV156" s="15">
        <f t="shared" si="36"/>
        <v>1687500</v>
      </c>
      <c r="AW156" s="18">
        <f t="shared" si="37"/>
        <v>0.42222222222222222</v>
      </c>
      <c r="AX156" s="27" t="str">
        <f>IF(OR(K156&lt;Outlier_Audit!$H$2,K156&gt;Outlier_Audit!$I$2),"Review","Normal")</f>
        <v>Normal</v>
      </c>
      <c r="AY156" t="str">
        <f t="shared" si="38"/>
        <v>&lt;10 years</v>
      </c>
      <c r="AZ156" t="str">
        <f>IF(AQ156="","Missing",IF(AQ156&gt;=EDA_Performance!$B$7,"High Growth",IF(AQ156&lt;=EDA_Performance!$B$5,"Low Growth","Middle")))</f>
        <v>Middle</v>
      </c>
    </row>
    <row r="157" spans="1:52">
      <c r="A157" s="12">
        <v>1614546</v>
      </c>
      <c r="B157" s="3" t="s">
        <v>65</v>
      </c>
      <c r="C157" s="3" t="s">
        <v>50</v>
      </c>
      <c r="D157" s="13">
        <v>40</v>
      </c>
      <c r="E157" s="13">
        <v>2029</v>
      </c>
      <c r="F157" s="13">
        <v>20</v>
      </c>
      <c r="G157" s="3" t="s">
        <v>78</v>
      </c>
      <c r="H157" s="13">
        <v>2000</v>
      </c>
      <c r="I157" s="13">
        <v>15</v>
      </c>
      <c r="J157" s="14">
        <v>1.5749640464782715</v>
      </c>
      <c r="K157" s="15">
        <v>100000000</v>
      </c>
      <c r="L157" s="15">
        <v>50000000</v>
      </c>
      <c r="M157" s="16">
        <v>70</v>
      </c>
      <c r="N157" s="13">
        <v>25</v>
      </c>
      <c r="O157" s="13">
        <v>10</v>
      </c>
      <c r="P157" s="15">
        <v>30000000</v>
      </c>
      <c r="Q157" s="15">
        <v>40000000</v>
      </c>
      <c r="R157" s="15">
        <v>300000000</v>
      </c>
      <c r="S157" s="16">
        <v>0</v>
      </c>
      <c r="T157" s="3" t="s">
        <v>52</v>
      </c>
      <c r="U157" s="3" t="s">
        <v>53</v>
      </c>
      <c r="V157" s="3" t="s">
        <v>53</v>
      </c>
      <c r="W157" s="16">
        <v>50</v>
      </c>
      <c r="X157" s="16">
        <v>0</v>
      </c>
      <c r="Y157" s="16">
        <v>50</v>
      </c>
      <c r="Z157" s="3" t="s">
        <v>53</v>
      </c>
      <c r="AA157" s="15"/>
      <c r="AB157" s="3" t="s">
        <v>53</v>
      </c>
      <c r="AC157" s="3" t="s">
        <v>53</v>
      </c>
      <c r="AD157" s="3" t="s">
        <v>53</v>
      </c>
      <c r="AE157" s="16"/>
      <c r="AF157" s="3" t="s">
        <v>54</v>
      </c>
      <c r="AG157" s="3" t="s">
        <v>67</v>
      </c>
      <c r="AH157" s="3" t="s">
        <v>67</v>
      </c>
      <c r="AI157" s="3" t="s">
        <v>54</v>
      </c>
      <c r="AJ157" s="3" t="s">
        <v>56</v>
      </c>
      <c r="AK157" s="3" t="s">
        <v>57</v>
      </c>
      <c r="AL157" s="13">
        <f t="shared" si="26"/>
        <v>24</v>
      </c>
      <c r="AM157" s="15">
        <f t="shared" si="27"/>
        <v>0</v>
      </c>
      <c r="AN157" s="3">
        <f t="shared" si="28"/>
        <v>0</v>
      </c>
      <c r="AO157" s="3" t="str">
        <f t="shared" si="29"/>
        <v>No</v>
      </c>
      <c r="AP157" s="17">
        <f t="shared" si="30"/>
        <v>1</v>
      </c>
      <c r="AQ157" s="17">
        <f t="shared" si="31"/>
        <v>0.41421356237309515</v>
      </c>
      <c r="AR157" s="17">
        <f t="shared" si="32"/>
        <v>1.5</v>
      </c>
      <c r="AS157" s="15">
        <f t="shared" si="33"/>
        <v>4000000</v>
      </c>
      <c r="AT157" s="17">
        <f t="shared" si="34"/>
        <v>0.3</v>
      </c>
      <c r="AU157" s="17">
        <f t="shared" si="35"/>
        <v>0.4</v>
      </c>
      <c r="AV157" s="15">
        <f t="shared" si="36"/>
        <v>12000000</v>
      </c>
      <c r="AW157" s="18">
        <f t="shared" si="37"/>
        <v>0</v>
      </c>
      <c r="AX157" s="27" t="str">
        <f>IF(OR(K157&lt;Outlier_Audit!$H$2,K157&gt;Outlier_Audit!$I$2),"Review","Normal")</f>
        <v>Normal</v>
      </c>
      <c r="AY157" t="str">
        <f t="shared" si="38"/>
        <v>20-29 years</v>
      </c>
      <c r="AZ157" t="str">
        <f>IF(AQ157="","Missing",IF(AQ157&gt;=EDA_Performance!$B$7,"High Growth",IF(AQ157&lt;=EDA_Performance!$B$5,"Low Growth","Middle")))</f>
        <v>High Growth</v>
      </c>
    </row>
    <row r="158" spans="1:52">
      <c r="A158" s="12">
        <v>1614558</v>
      </c>
      <c r="B158" s="3" t="s">
        <v>80</v>
      </c>
      <c r="C158" s="3" t="s">
        <v>58</v>
      </c>
      <c r="D158" s="13">
        <v>20</v>
      </c>
      <c r="E158" s="13">
        <v>1061</v>
      </c>
      <c r="F158" s="13">
        <v>10</v>
      </c>
      <c r="G158" s="3" t="s">
        <v>51</v>
      </c>
      <c r="H158" s="13">
        <v>2011</v>
      </c>
      <c r="I158" s="13">
        <v>10</v>
      </c>
      <c r="J158" s="14">
        <v>1.6450884342193604</v>
      </c>
      <c r="K158" s="15">
        <v>25000000</v>
      </c>
      <c r="L158" s="15">
        <v>26000000</v>
      </c>
      <c r="M158" s="16">
        <v>100</v>
      </c>
      <c r="N158" s="13">
        <v>5</v>
      </c>
      <c r="O158" s="13">
        <v>5</v>
      </c>
      <c r="P158" s="15">
        <v>12000000</v>
      </c>
      <c r="Q158" s="15">
        <v>20000000</v>
      </c>
      <c r="R158" s="15">
        <v>10000000</v>
      </c>
      <c r="S158" s="16">
        <v>0</v>
      </c>
      <c r="T158" s="3" t="s">
        <v>52</v>
      </c>
      <c r="U158" s="3" t="s">
        <v>53</v>
      </c>
      <c r="V158" s="3" t="s">
        <v>53</v>
      </c>
      <c r="W158" s="16">
        <v>100</v>
      </c>
      <c r="X158" s="16">
        <v>0</v>
      </c>
      <c r="Y158" s="16">
        <v>0</v>
      </c>
      <c r="Z158" s="3" t="s">
        <v>53</v>
      </c>
      <c r="AA158" s="15"/>
      <c r="AB158" s="3" t="s">
        <v>52</v>
      </c>
      <c r="AC158" s="3" t="s">
        <v>52</v>
      </c>
      <c r="AD158" s="3" t="s">
        <v>52</v>
      </c>
      <c r="AE158" s="16">
        <v>6</v>
      </c>
      <c r="AF158" s="3" t="s">
        <v>61</v>
      </c>
      <c r="AG158" s="3" t="s">
        <v>54</v>
      </c>
      <c r="AH158" s="3" t="s">
        <v>67</v>
      </c>
      <c r="AI158" s="3" t="s">
        <v>54</v>
      </c>
      <c r="AJ158" s="3" t="s">
        <v>63</v>
      </c>
      <c r="AK158" s="3" t="s">
        <v>57</v>
      </c>
      <c r="AL158" s="13">
        <f t="shared" si="26"/>
        <v>13</v>
      </c>
      <c r="AM158" s="15">
        <f t="shared" si="27"/>
        <v>0</v>
      </c>
      <c r="AN158" s="3">
        <f t="shared" si="28"/>
        <v>6</v>
      </c>
      <c r="AO158" s="3" t="str">
        <f t="shared" si="29"/>
        <v>No</v>
      </c>
      <c r="AP158" s="17">
        <f t="shared" si="30"/>
        <v>-3.8461538461538436E-2</v>
      </c>
      <c r="AQ158" s="17">
        <f t="shared" si="31"/>
        <v>-1.9419324309079777E-2</v>
      </c>
      <c r="AR158" s="17">
        <f t="shared" si="32"/>
        <v>0</v>
      </c>
      <c r="AS158" s="15">
        <f t="shared" si="33"/>
        <v>5000000</v>
      </c>
      <c r="AT158" s="17">
        <f t="shared" si="34"/>
        <v>0.48</v>
      </c>
      <c r="AU158" s="17">
        <f t="shared" si="35"/>
        <v>0.8</v>
      </c>
      <c r="AV158" s="15">
        <f t="shared" si="36"/>
        <v>2000000</v>
      </c>
      <c r="AW158" s="18">
        <f t="shared" si="37"/>
        <v>0</v>
      </c>
      <c r="AX158" s="27" t="str">
        <f>IF(OR(K158&lt;Outlier_Audit!$H$2,K158&gt;Outlier_Audit!$I$2),"Review","Normal")</f>
        <v>Normal</v>
      </c>
      <c r="AY158" t="str">
        <f t="shared" si="38"/>
        <v>10-19 years</v>
      </c>
      <c r="AZ158" t="str">
        <f>IF(AQ158="","Missing",IF(AQ158&gt;=EDA_Performance!$B$7,"High Growth",IF(AQ158&lt;=EDA_Performance!$B$5,"Low Growth","Middle")))</f>
        <v>Low Growth</v>
      </c>
    </row>
    <row r="159" spans="1:52">
      <c r="A159" s="12">
        <v>1614560</v>
      </c>
      <c r="B159" s="3" t="s">
        <v>65</v>
      </c>
      <c r="C159" s="3" t="s">
        <v>50</v>
      </c>
      <c r="D159" s="13">
        <v>1000</v>
      </c>
      <c r="E159" s="13">
        <v>2023</v>
      </c>
      <c r="F159" s="13">
        <v>20</v>
      </c>
      <c r="G159" s="3" t="s">
        <v>78</v>
      </c>
      <c r="H159" s="13">
        <v>1997</v>
      </c>
      <c r="I159" s="13">
        <v>30</v>
      </c>
      <c r="J159" s="14">
        <v>1.7509959936141968</v>
      </c>
      <c r="K159" s="15">
        <v>7000000000</v>
      </c>
      <c r="L159" s="15">
        <v>5000000000</v>
      </c>
      <c r="M159" s="16">
        <v>40</v>
      </c>
      <c r="N159" s="13">
        <v>450</v>
      </c>
      <c r="O159" s="13">
        <v>350</v>
      </c>
      <c r="P159" s="15">
        <v>2000000000</v>
      </c>
      <c r="Q159" s="15">
        <v>1000000000</v>
      </c>
      <c r="R159" s="15">
        <v>2500000000</v>
      </c>
      <c r="S159" s="16">
        <v>10</v>
      </c>
      <c r="T159" s="3" t="s">
        <v>53</v>
      </c>
      <c r="U159" s="3" t="s">
        <v>53</v>
      </c>
      <c r="V159" s="3" t="s">
        <v>53</v>
      </c>
      <c r="W159" s="16">
        <v>0</v>
      </c>
      <c r="X159" s="16">
        <v>0</v>
      </c>
      <c r="Y159" s="16">
        <v>0</v>
      </c>
      <c r="Z159" s="3" t="s">
        <v>53</v>
      </c>
      <c r="AA159" s="15"/>
      <c r="AB159" s="3" t="s">
        <v>53</v>
      </c>
      <c r="AC159" s="3" t="s">
        <v>53</v>
      </c>
      <c r="AD159" s="3" t="s">
        <v>53</v>
      </c>
      <c r="AE159" s="16"/>
      <c r="AF159" s="3" t="s">
        <v>62</v>
      </c>
      <c r="AG159" s="3" t="s">
        <v>62</v>
      </c>
      <c r="AH159" s="3" t="s">
        <v>62</v>
      </c>
      <c r="AI159" s="3" t="s">
        <v>62</v>
      </c>
      <c r="AJ159" s="3" t="s">
        <v>101</v>
      </c>
      <c r="AK159" s="3" t="s">
        <v>75</v>
      </c>
      <c r="AL159" s="13">
        <f t="shared" si="26"/>
        <v>27</v>
      </c>
      <c r="AM159" s="15">
        <f t="shared" si="27"/>
        <v>0</v>
      </c>
      <c r="AN159" s="3">
        <f t="shared" si="28"/>
        <v>0</v>
      </c>
      <c r="AO159" s="3" t="str">
        <f t="shared" si="29"/>
        <v>Yes</v>
      </c>
      <c r="AP159" s="17">
        <f t="shared" si="30"/>
        <v>0.39999999999999991</v>
      </c>
      <c r="AQ159" s="17">
        <f t="shared" si="31"/>
        <v>0.18321595661992318</v>
      </c>
      <c r="AR159" s="17">
        <f t="shared" si="32"/>
        <v>0.28571428571428581</v>
      </c>
      <c r="AS159" s="15">
        <f t="shared" si="33"/>
        <v>15555555.555555556</v>
      </c>
      <c r="AT159" s="17">
        <f t="shared" si="34"/>
        <v>0.2857142857142857</v>
      </c>
      <c r="AU159" s="17">
        <f t="shared" si="35"/>
        <v>0.14285714285714285</v>
      </c>
      <c r="AV159" s="15">
        <f t="shared" si="36"/>
        <v>5555555.555555556</v>
      </c>
      <c r="AW159" s="18">
        <f t="shared" si="37"/>
        <v>0</v>
      </c>
      <c r="AX159" s="27" t="str">
        <f>IF(OR(K159&lt;Outlier_Audit!$H$2,K159&gt;Outlier_Audit!$I$2),"Review","Normal")</f>
        <v>Normal</v>
      </c>
      <c r="AY159" t="str">
        <f t="shared" si="38"/>
        <v>20-29 years</v>
      </c>
      <c r="AZ159" t="str">
        <f>IF(AQ159="","Missing",IF(AQ159&gt;=EDA_Performance!$B$7,"High Growth",IF(AQ159&lt;=EDA_Performance!$B$5,"Low Growth","Middle")))</f>
        <v>Middle</v>
      </c>
    </row>
    <row r="160" spans="1:52">
      <c r="A160" s="12">
        <v>1614561</v>
      </c>
      <c r="B160" s="3" t="s">
        <v>80</v>
      </c>
      <c r="C160" s="3" t="s">
        <v>66</v>
      </c>
      <c r="D160" s="13">
        <v>15</v>
      </c>
      <c r="E160" s="13">
        <v>1061</v>
      </c>
      <c r="F160" s="13">
        <v>10</v>
      </c>
      <c r="G160" s="3" t="s">
        <v>51</v>
      </c>
      <c r="H160" s="13">
        <v>2012</v>
      </c>
      <c r="I160" s="13">
        <v>13</v>
      </c>
      <c r="J160" s="14">
        <v>6.9057846069335938</v>
      </c>
      <c r="K160" s="15">
        <v>76300000</v>
      </c>
      <c r="L160" s="15">
        <v>57120000</v>
      </c>
      <c r="M160" s="16">
        <v>40</v>
      </c>
      <c r="N160" s="13">
        <v>13</v>
      </c>
      <c r="O160" s="13">
        <v>9</v>
      </c>
      <c r="P160" s="15">
        <v>11000000</v>
      </c>
      <c r="Q160" s="15">
        <v>22450000</v>
      </c>
      <c r="R160" s="15">
        <v>180000000</v>
      </c>
      <c r="S160" s="16">
        <v>0</v>
      </c>
      <c r="T160" s="3" t="s">
        <v>60</v>
      </c>
      <c r="U160" s="3" t="s">
        <v>53</v>
      </c>
      <c r="V160" s="3" t="s">
        <v>53</v>
      </c>
      <c r="W160" s="16">
        <v>70</v>
      </c>
      <c r="X160" s="16">
        <v>0</v>
      </c>
      <c r="Y160" s="16">
        <v>10</v>
      </c>
      <c r="Z160" s="3" t="s">
        <v>53</v>
      </c>
      <c r="AA160" s="15"/>
      <c r="AB160" s="3" t="s">
        <v>53</v>
      </c>
      <c r="AC160" s="3" t="s">
        <v>53</v>
      </c>
      <c r="AD160" s="3" t="s">
        <v>52</v>
      </c>
      <c r="AE160" s="16">
        <v>5</v>
      </c>
      <c r="AF160" s="3" t="s">
        <v>55</v>
      </c>
      <c r="AG160" s="3" t="s">
        <v>67</v>
      </c>
      <c r="AH160" s="3" t="s">
        <v>67</v>
      </c>
      <c r="AI160" s="3" t="s">
        <v>67</v>
      </c>
      <c r="AJ160" s="3" t="s">
        <v>87</v>
      </c>
      <c r="AK160" s="3" t="s">
        <v>75</v>
      </c>
      <c r="AL160" s="13">
        <f t="shared" si="26"/>
        <v>12</v>
      </c>
      <c r="AM160" s="15">
        <f t="shared" si="27"/>
        <v>0</v>
      </c>
      <c r="AN160" s="3">
        <f t="shared" si="28"/>
        <v>5</v>
      </c>
      <c r="AO160" s="3" t="str">
        <f t="shared" si="29"/>
        <v>No</v>
      </c>
      <c r="AP160" s="17">
        <f t="shared" si="30"/>
        <v>0.33578431372549011</v>
      </c>
      <c r="AQ160" s="17">
        <f t="shared" si="31"/>
        <v>0.15576135673654101</v>
      </c>
      <c r="AR160" s="17">
        <f t="shared" si="32"/>
        <v>0.44444444444444442</v>
      </c>
      <c r="AS160" s="15">
        <f t="shared" si="33"/>
        <v>5869230.769230769</v>
      </c>
      <c r="AT160" s="17">
        <f t="shared" si="34"/>
        <v>0.14416775884665792</v>
      </c>
      <c r="AU160" s="17">
        <f t="shared" si="35"/>
        <v>0.29423328964613366</v>
      </c>
      <c r="AV160" s="15">
        <f t="shared" si="36"/>
        <v>13846153.846153846</v>
      </c>
      <c r="AW160" s="18">
        <f t="shared" si="37"/>
        <v>0</v>
      </c>
      <c r="AX160" s="27" t="str">
        <f>IF(OR(K160&lt;Outlier_Audit!$H$2,K160&gt;Outlier_Audit!$I$2),"Review","Normal")</f>
        <v>Normal</v>
      </c>
      <c r="AY160" t="str">
        <f t="shared" si="38"/>
        <v>10-19 years</v>
      </c>
      <c r="AZ160" t="str">
        <f>IF(AQ160="","Missing",IF(AQ160&gt;=EDA_Performance!$B$7,"High Growth",IF(AQ160&lt;=EDA_Performance!$B$5,"Low Growth","Middle")))</f>
        <v>Middle</v>
      </c>
    </row>
    <row r="161" spans="1:52">
      <c r="A161" s="12">
        <v>1614563</v>
      </c>
      <c r="B161" s="3" t="s">
        <v>74</v>
      </c>
      <c r="C161" s="3" t="s">
        <v>50</v>
      </c>
      <c r="D161" s="13">
        <v>200</v>
      </c>
      <c r="E161" s="13">
        <v>2029</v>
      </c>
      <c r="F161" s="13">
        <v>20</v>
      </c>
      <c r="G161" s="3" t="s">
        <v>78</v>
      </c>
      <c r="H161" s="13">
        <v>2006</v>
      </c>
      <c r="I161" s="13">
        <v>19</v>
      </c>
      <c r="J161" s="14">
        <v>1.2616859674453735</v>
      </c>
      <c r="K161" s="15">
        <v>5700000000</v>
      </c>
      <c r="L161" s="15">
        <v>6700000000</v>
      </c>
      <c r="M161" s="16">
        <v>50</v>
      </c>
      <c r="N161" s="13">
        <v>115</v>
      </c>
      <c r="O161" s="13">
        <v>95</v>
      </c>
      <c r="P161" s="15">
        <v>400000000</v>
      </c>
      <c r="Q161" s="15">
        <v>2500000000</v>
      </c>
      <c r="R161" s="15">
        <v>3500000000</v>
      </c>
      <c r="S161" s="16">
        <v>0</v>
      </c>
      <c r="T161" s="3" t="s">
        <v>52</v>
      </c>
      <c r="U161" s="3" t="s">
        <v>53</v>
      </c>
      <c r="V161" s="3" t="s">
        <v>53</v>
      </c>
      <c r="W161" s="16">
        <v>100</v>
      </c>
      <c r="X161" s="16">
        <v>0</v>
      </c>
      <c r="Y161" s="16">
        <v>0</v>
      </c>
      <c r="Z161" s="3" t="s">
        <v>53</v>
      </c>
      <c r="AA161" s="15"/>
      <c r="AB161" s="3" t="s">
        <v>53</v>
      </c>
      <c r="AC161" s="3" t="s">
        <v>53</v>
      </c>
      <c r="AD161" s="3" t="s">
        <v>52</v>
      </c>
      <c r="AE161" s="16">
        <v>15</v>
      </c>
      <c r="AF161" s="3" t="s">
        <v>61</v>
      </c>
      <c r="AG161" s="3" t="s">
        <v>62</v>
      </c>
      <c r="AH161" s="3" t="s">
        <v>62</v>
      </c>
      <c r="AI161" s="3"/>
      <c r="AJ161" s="3" t="s">
        <v>63</v>
      </c>
      <c r="AK161" s="3" t="s">
        <v>64</v>
      </c>
      <c r="AL161" s="13">
        <f t="shared" si="26"/>
        <v>18</v>
      </c>
      <c r="AM161" s="15">
        <f t="shared" si="27"/>
        <v>0</v>
      </c>
      <c r="AN161" s="3">
        <f t="shared" si="28"/>
        <v>15</v>
      </c>
      <c r="AO161" s="3" t="str">
        <f t="shared" si="29"/>
        <v>No</v>
      </c>
      <c r="AP161" s="17">
        <f t="shared" si="30"/>
        <v>-0.14925373134328357</v>
      </c>
      <c r="AQ161" s="17">
        <f t="shared" si="31"/>
        <v>-7.764092206087303E-2</v>
      </c>
      <c r="AR161" s="17">
        <f t="shared" si="32"/>
        <v>0.21052631578947367</v>
      </c>
      <c r="AS161" s="15">
        <f t="shared" si="33"/>
        <v>49565217.391304351</v>
      </c>
      <c r="AT161" s="17">
        <f t="shared" si="34"/>
        <v>7.0175438596491224E-2</v>
      </c>
      <c r="AU161" s="17">
        <f t="shared" si="35"/>
        <v>0.43859649122807015</v>
      </c>
      <c r="AV161" s="15">
        <f t="shared" si="36"/>
        <v>30434782.608695652</v>
      </c>
      <c r="AW161" s="18">
        <f t="shared" si="37"/>
        <v>0</v>
      </c>
      <c r="AX161" s="27" t="str">
        <f>IF(OR(K161&lt;Outlier_Audit!$H$2,K161&gt;Outlier_Audit!$I$2),"Review","Normal")</f>
        <v>Normal</v>
      </c>
      <c r="AY161" t="str">
        <f t="shared" si="38"/>
        <v>10-19 years</v>
      </c>
      <c r="AZ161" t="str">
        <f>IF(AQ161="","Missing",IF(AQ161&gt;=EDA_Performance!$B$7,"High Growth",IF(AQ161&lt;=EDA_Performance!$B$5,"Low Growth","Middle")))</f>
        <v>Low Growth</v>
      </c>
    </row>
    <row r="162" spans="1:52">
      <c r="A162" s="12">
        <v>1614565</v>
      </c>
      <c r="B162" s="3" t="s">
        <v>74</v>
      </c>
      <c r="C162" s="3" t="s">
        <v>66</v>
      </c>
      <c r="D162" s="13">
        <v>6</v>
      </c>
      <c r="E162" s="13">
        <v>1061</v>
      </c>
      <c r="F162" s="13">
        <v>10</v>
      </c>
      <c r="G162" s="3" t="s">
        <v>51</v>
      </c>
      <c r="H162" s="13">
        <v>2006</v>
      </c>
      <c r="I162" s="13">
        <v>30</v>
      </c>
      <c r="J162" s="14">
        <v>1.6504706144332886</v>
      </c>
      <c r="K162" s="15"/>
      <c r="L162" s="15"/>
      <c r="M162" s="16">
        <v>30</v>
      </c>
      <c r="N162" s="13">
        <v>5</v>
      </c>
      <c r="O162" s="13">
        <v>5</v>
      </c>
      <c r="P162" s="15">
        <v>12000000</v>
      </c>
      <c r="Q162" s="15">
        <v>60000000</v>
      </c>
      <c r="R162" s="15">
        <v>180000000</v>
      </c>
      <c r="S162" s="16">
        <v>0</v>
      </c>
      <c r="T162" s="3" t="s">
        <v>60</v>
      </c>
      <c r="U162" s="3" t="s">
        <v>53</v>
      </c>
      <c r="V162" s="3" t="s">
        <v>53</v>
      </c>
      <c r="W162" s="16">
        <v>50</v>
      </c>
      <c r="X162" s="16">
        <v>50</v>
      </c>
      <c r="Y162" s="16">
        <v>0</v>
      </c>
      <c r="Z162" s="3" t="s">
        <v>53</v>
      </c>
      <c r="AA162" s="15"/>
      <c r="AB162" s="3" t="s">
        <v>52</v>
      </c>
      <c r="AC162" s="3" t="s">
        <v>52</v>
      </c>
      <c r="AD162" s="3" t="s">
        <v>52</v>
      </c>
      <c r="AE162" s="16">
        <v>0</v>
      </c>
      <c r="AF162" s="3" t="s">
        <v>67</v>
      </c>
      <c r="AG162" s="3" t="s">
        <v>55</v>
      </c>
      <c r="AH162" s="3" t="s">
        <v>67</v>
      </c>
      <c r="AI162" s="3" t="s">
        <v>62</v>
      </c>
      <c r="AJ162" s="3" t="s">
        <v>56</v>
      </c>
      <c r="AK162" s="3" t="s">
        <v>75</v>
      </c>
      <c r="AL162" s="13">
        <f t="shared" si="26"/>
        <v>18</v>
      </c>
      <c r="AM162" s="15">
        <f t="shared" si="27"/>
        <v>0</v>
      </c>
      <c r="AN162" s="3">
        <f t="shared" si="28"/>
        <v>0</v>
      </c>
      <c r="AO162" s="3" t="str">
        <f t="shared" si="29"/>
        <v>No</v>
      </c>
      <c r="AP162" s="17" t="str">
        <f t="shared" si="30"/>
        <v/>
      </c>
      <c r="AQ162" s="17" t="str">
        <f t="shared" si="31"/>
        <v/>
      </c>
      <c r="AR162" s="17">
        <f t="shared" si="32"/>
        <v>0</v>
      </c>
      <c r="AS162" s="15" t="str">
        <f t="shared" si="33"/>
        <v/>
      </c>
      <c r="AT162" s="17" t="str">
        <f t="shared" si="34"/>
        <v/>
      </c>
      <c r="AU162" s="17" t="str">
        <f t="shared" si="35"/>
        <v/>
      </c>
      <c r="AV162" s="15">
        <f t="shared" si="36"/>
        <v>36000000</v>
      </c>
      <c r="AW162" s="18">
        <f t="shared" si="37"/>
        <v>0</v>
      </c>
      <c r="AX162" s="27" t="str">
        <f>IF(OR(K162&lt;Outlier_Audit!$H$2,K162&gt;Outlier_Audit!$I$2),"Review","Normal")</f>
        <v>Normal</v>
      </c>
      <c r="AY162" t="str">
        <f t="shared" si="38"/>
        <v>10-19 years</v>
      </c>
      <c r="AZ162" t="str">
        <f>IF(AQ162="","Missing",IF(AQ162&gt;=EDA_Performance!$B$7,"High Growth",IF(AQ162&lt;=EDA_Performance!$B$5,"Low Growth","Middle")))</f>
        <v>Missing</v>
      </c>
    </row>
    <row r="163" spans="1:52">
      <c r="A163" s="12">
        <v>1614566</v>
      </c>
      <c r="B163" s="3" t="s">
        <v>74</v>
      </c>
      <c r="C163" s="3" t="s">
        <v>58</v>
      </c>
      <c r="D163" s="13">
        <v>8</v>
      </c>
      <c r="E163" s="13">
        <v>3100</v>
      </c>
      <c r="F163" s="13">
        <v>31</v>
      </c>
      <c r="G163" s="3" t="s">
        <v>71</v>
      </c>
      <c r="H163" s="13">
        <v>1990</v>
      </c>
      <c r="I163" s="13">
        <v>35</v>
      </c>
      <c r="J163" s="14">
        <v>64.973602294921875</v>
      </c>
      <c r="K163" s="15">
        <v>55000000</v>
      </c>
      <c r="L163" s="15"/>
      <c r="M163" s="16">
        <v>65</v>
      </c>
      <c r="N163" s="13">
        <v>1</v>
      </c>
      <c r="O163" s="13">
        <v>4</v>
      </c>
      <c r="P163" s="15"/>
      <c r="Q163" s="15"/>
      <c r="R163" s="15">
        <v>20000000</v>
      </c>
      <c r="S163" s="16">
        <v>0</v>
      </c>
      <c r="T163" s="3" t="s">
        <v>60</v>
      </c>
      <c r="U163" s="3" t="s">
        <v>53</v>
      </c>
      <c r="V163" s="3" t="s">
        <v>53</v>
      </c>
      <c r="W163" s="16">
        <v>20</v>
      </c>
      <c r="X163" s="16">
        <v>60</v>
      </c>
      <c r="Y163" s="16">
        <v>20</v>
      </c>
      <c r="Z163" s="3" t="s">
        <v>53</v>
      </c>
      <c r="AA163" s="15"/>
      <c r="AB163" s="3" t="s">
        <v>52</v>
      </c>
      <c r="AC163" s="3" t="s">
        <v>52</v>
      </c>
      <c r="AD163" s="3" t="s">
        <v>52</v>
      </c>
      <c r="AE163" s="16"/>
      <c r="AF163" s="3" t="s">
        <v>54</v>
      </c>
      <c r="AG163" s="3" t="s">
        <v>55</v>
      </c>
      <c r="AH163" s="3" t="s">
        <v>67</v>
      </c>
      <c r="AI163" s="3" t="s">
        <v>61</v>
      </c>
      <c r="AJ163" s="3" t="s">
        <v>87</v>
      </c>
      <c r="AK163" s="3" t="s">
        <v>75</v>
      </c>
      <c r="AL163" s="13">
        <f t="shared" si="26"/>
        <v>34</v>
      </c>
      <c r="AM163" s="15">
        <f t="shared" si="27"/>
        <v>0</v>
      </c>
      <c r="AN163" s="3">
        <f t="shared" si="28"/>
        <v>0</v>
      </c>
      <c r="AO163" s="3" t="str">
        <f t="shared" si="29"/>
        <v>No</v>
      </c>
      <c r="AP163" s="17" t="str">
        <f t="shared" si="30"/>
        <v/>
      </c>
      <c r="AQ163" s="17" t="str">
        <f t="shared" si="31"/>
        <v/>
      </c>
      <c r="AR163" s="17">
        <f t="shared" si="32"/>
        <v>-0.75</v>
      </c>
      <c r="AS163" s="15">
        <f t="shared" si="33"/>
        <v>55000000</v>
      </c>
      <c r="AT163" s="17" t="str">
        <f t="shared" si="34"/>
        <v/>
      </c>
      <c r="AU163" s="17" t="str">
        <f t="shared" si="35"/>
        <v/>
      </c>
      <c r="AV163" s="15">
        <f t="shared" si="36"/>
        <v>20000000</v>
      </c>
      <c r="AW163" s="18">
        <f t="shared" si="37"/>
        <v>0</v>
      </c>
      <c r="AX163" s="27" t="str">
        <f>IF(OR(K163&lt;Outlier_Audit!$H$2,K163&gt;Outlier_Audit!$I$2),"Review","Normal")</f>
        <v>Normal</v>
      </c>
      <c r="AY163" t="str">
        <f t="shared" si="38"/>
        <v>30+ years</v>
      </c>
      <c r="AZ163" t="str">
        <f>IF(AQ163="","Missing",IF(AQ163&gt;=EDA_Performance!$B$7,"High Growth",IF(AQ163&lt;=EDA_Performance!$B$5,"Low Growth","Middle")))</f>
        <v>Missing</v>
      </c>
    </row>
    <row r="164" spans="1:52">
      <c r="A164" s="12">
        <v>1614570</v>
      </c>
      <c r="B164" s="3" t="s">
        <v>65</v>
      </c>
      <c r="C164" s="3" t="s">
        <v>50</v>
      </c>
      <c r="D164" s="13">
        <v>25</v>
      </c>
      <c r="E164" s="13">
        <v>1079</v>
      </c>
      <c r="F164" s="13">
        <v>10</v>
      </c>
      <c r="G164" s="3" t="s">
        <v>51</v>
      </c>
      <c r="H164" s="13">
        <v>1996</v>
      </c>
      <c r="I164" s="13">
        <v>20</v>
      </c>
      <c r="J164" s="14">
        <v>1.5688178539276123</v>
      </c>
      <c r="K164" s="15">
        <v>100000000</v>
      </c>
      <c r="L164" s="15">
        <v>40000000</v>
      </c>
      <c r="M164" s="16">
        <v>80</v>
      </c>
      <c r="N164" s="13">
        <v>25</v>
      </c>
      <c r="O164" s="13">
        <v>10</v>
      </c>
      <c r="P164" s="15">
        <v>25000000</v>
      </c>
      <c r="Q164" s="15">
        <v>30000000</v>
      </c>
      <c r="R164" s="15">
        <v>80000000</v>
      </c>
      <c r="S164" s="16">
        <v>80</v>
      </c>
      <c r="T164" s="3" t="s">
        <v>52</v>
      </c>
      <c r="U164" s="3" t="s">
        <v>53</v>
      </c>
      <c r="V164" s="3" t="s">
        <v>53</v>
      </c>
      <c r="W164" s="16">
        <v>60</v>
      </c>
      <c r="X164" s="16">
        <v>0</v>
      </c>
      <c r="Y164" s="16">
        <v>30</v>
      </c>
      <c r="Z164" s="3" t="s">
        <v>53</v>
      </c>
      <c r="AA164" s="15"/>
      <c r="AB164" s="3" t="s">
        <v>53</v>
      </c>
      <c r="AC164" s="3" t="s">
        <v>53</v>
      </c>
      <c r="AD164" s="3" t="s">
        <v>52</v>
      </c>
      <c r="AE164" s="16">
        <v>2</v>
      </c>
      <c r="AF164" s="3" t="s">
        <v>62</v>
      </c>
      <c r="AG164" s="3" t="s">
        <v>67</v>
      </c>
      <c r="AH164" s="3" t="s">
        <v>67</v>
      </c>
      <c r="AI164" s="3" t="s">
        <v>62</v>
      </c>
      <c r="AJ164" s="3" t="s">
        <v>56</v>
      </c>
      <c r="AK164" s="3" t="s">
        <v>57</v>
      </c>
      <c r="AL164" s="13">
        <f t="shared" si="26"/>
        <v>28</v>
      </c>
      <c r="AM164" s="15">
        <f t="shared" si="27"/>
        <v>0</v>
      </c>
      <c r="AN164" s="3">
        <f t="shared" si="28"/>
        <v>2</v>
      </c>
      <c r="AO164" s="3" t="str">
        <f t="shared" si="29"/>
        <v>Yes</v>
      </c>
      <c r="AP164" s="17">
        <f t="shared" si="30"/>
        <v>1.5</v>
      </c>
      <c r="AQ164" s="17">
        <f t="shared" si="31"/>
        <v>0.58113883008418976</v>
      </c>
      <c r="AR164" s="17">
        <f t="shared" si="32"/>
        <v>1.5</v>
      </c>
      <c r="AS164" s="15">
        <f t="shared" si="33"/>
        <v>4000000</v>
      </c>
      <c r="AT164" s="17">
        <f t="shared" si="34"/>
        <v>0.25</v>
      </c>
      <c r="AU164" s="17">
        <f t="shared" si="35"/>
        <v>0.3</v>
      </c>
      <c r="AV164" s="15">
        <f t="shared" si="36"/>
        <v>3200000</v>
      </c>
      <c r="AW164" s="18">
        <f t="shared" si="37"/>
        <v>0</v>
      </c>
      <c r="AX164" s="27" t="str">
        <f>IF(OR(K164&lt;Outlier_Audit!$H$2,K164&gt;Outlier_Audit!$I$2),"Review","Normal")</f>
        <v>Normal</v>
      </c>
      <c r="AY164" t="str">
        <f t="shared" si="38"/>
        <v>20-29 years</v>
      </c>
      <c r="AZ164" t="str">
        <f>IF(AQ164="","Missing",IF(AQ164&gt;=EDA_Performance!$B$7,"High Growth",IF(AQ164&lt;=EDA_Performance!$B$5,"Low Growth","Middle")))</f>
        <v>High Growth</v>
      </c>
    </row>
    <row r="165" spans="1:52">
      <c r="A165" s="12">
        <v>1614575</v>
      </c>
      <c r="B165" s="3" t="s">
        <v>49</v>
      </c>
      <c r="C165" s="3" t="s">
        <v>66</v>
      </c>
      <c r="D165" s="13">
        <v>150</v>
      </c>
      <c r="E165" s="13">
        <v>2392</v>
      </c>
      <c r="F165" s="13">
        <v>23</v>
      </c>
      <c r="G165" s="3" t="s">
        <v>83</v>
      </c>
      <c r="H165" s="13">
        <v>2010</v>
      </c>
      <c r="I165" s="13">
        <v>30</v>
      </c>
      <c r="J165" s="14">
        <v>1.6637996435165405</v>
      </c>
      <c r="K165" s="15">
        <v>400000000000</v>
      </c>
      <c r="L165" s="15">
        <v>120000000000</v>
      </c>
      <c r="M165" s="16">
        <v>100</v>
      </c>
      <c r="N165" s="13">
        <v>150</v>
      </c>
      <c r="O165" s="13">
        <v>150</v>
      </c>
      <c r="P165" s="15">
        <v>10000000000</v>
      </c>
      <c r="Q165" s="15">
        <v>40000000000</v>
      </c>
      <c r="R165" s="15">
        <v>800000000000</v>
      </c>
      <c r="S165" s="16">
        <v>0</v>
      </c>
      <c r="T165" s="3" t="s">
        <v>52</v>
      </c>
      <c r="U165" s="3" t="s">
        <v>53</v>
      </c>
      <c r="V165" s="3" t="s">
        <v>52</v>
      </c>
      <c r="W165" s="16">
        <v>85</v>
      </c>
      <c r="X165" s="16">
        <v>10</v>
      </c>
      <c r="Y165" s="16">
        <v>0</v>
      </c>
      <c r="Z165" s="3" t="s">
        <v>53</v>
      </c>
      <c r="AA165" s="15"/>
      <c r="AB165" s="3" t="s">
        <v>52</v>
      </c>
      <c r="AC165" s="3" t="s">
        <v>52</v>
      </c>
      <c r="AD165" s="3" t="s">
        <v>52</v>
      </c>
      <c r="AE165" s="16">
        <v>6</v>
      </c>
      <c r="AF165" s="3" t="s">
        <v>62</v>
      </c>
      <c r="AG165" s="3" t="s">
        <v>61</v>
      </c>
      <c r="AH165" s="3" t="s">
        <v>54</v>
      </c>
      <c r="AI165" s="3" t="s">
        <v>54</v>
      </c>
      <c r="AJ165" s="3" t="s">
        <v>70</v>
      </c>
      <c r="AK165" s="3" t="s">
        <v>64</v>
      </c>
      <c r="AL165" s="13">
        <f t="shared" si="26"/>
        <v>14</v>
      </c>
      <c r="AM165" s="15">
        <f t="shared" si="27"/>
        <v>0</v>
      </c>
      <c r="AN165" s="3">
        <f t="shared" si="28"/>
        <v>6</v>
      </c>
      <c r="AO165" s="3" t="str">
        <f t="shared" si="29"/>
        <v>No</v>
      </c>
      <c r="AP165" s="17">
        <f t="shared" si="30"/>
        <v>2.3333333333333335</v>
      </c>
      <c r="AQ165" s="17">
        <f t="shared" si="31"/>
        <v>0.8257418583505538</v>
      </c>
      <c r="AR165" s="17">
        <f t="shared" si="32"/>
        <v>0</v>
      </c>
      <c r="AS165" s="15">
        <f t="shared" si="33"/>
        <v>2666666666.6666665</v>
      </c>
      <c r="AT165" s="17">
        <f t="shared" si="34"/>
        <v>2.5000000000000001E-2</v>
      </c>
      <c r="AU165" s="17">
        <f t="shared" si="35"/>
        <v>0.1</v>
      </c>
      <c r="AV165" s="15">
        <f t="shared" si="36"/>
        <v>5333333333.333333</v>
      </c>
      <c r="AW165" s="18">
        <f t="shared" si="37"/>
        <v>0</v>
      </c>
      <c r="AX165" s="27" t="str">
        <f>IF(OR(K165&lt;Outlier_Audit!$H$2,K165&gt;Outlier_Audit!$I$2),"Review","Normal")</f>
        <v>Review</v>
      </c>
      <c r="AY165" t="str">
        <f t="shared" si="38"/>
        <v>10-19 years</v>
      </c>
      <c r="AZ165" t="str">
        <f>IF(AQ165="","Missing",IF(AQ165&gt;=EDA_Performance!$B$7,"High Growth",IF(AQ165&lt;=EDA_Performance!$B$5,"Low Growth","Middle")))</f>
        <v>High Growth</v>
      </c>
    </row>
    <row r="166" spans="1:52">
      <c r="A166" s="12">
        <v>1614580</v>
      </c>
      <c r="B166" s="3" t="s">
        <v>49</v>
      </c>
      <c r="C166" s="3" t="s">
        <v>66</v>
      </c>
      <c r="D166" s="13">
        <v>9</v>
      </c>
      <c r="E166" s="13">
        <v>2511</v>
      </c>
      <c r="F166" s="13">
        <v>25</v>
      </c>
      <c r="G166" s="3" t="s">
        <v>76</v>
      </c>
      <c r="H166" s="13">
        <v>2011</v>
      </c>
      <c r="I166" s="13">
        <v>14</v>
      </c>
      <c r="J166" s="14">
        <v>1.6637996435165405</v>
      </c>
      <c r="K166" s="15">
        <v>255000000</v>
      </c>
      <c r="L166" s="15">
        <v>200000000</v>
      </c>
      <c r="M166" s="16">
        <v>80</v>
      </c>
      <c r="N166" s="13">
        <v>7</v>
      </c>
      <c r="O166" s="13">
        <v>7</v>
      </c>
      <c r="P166" s="15">
        <v>27000000</v>
      </c>
      <c r="Q166" s="15">
        <v>50000000</v>
      </c>
      <c r="R166" s="15">
        <v>70000000</v>
      </c>
      <c r="S166" s="16">
        <v>0</v>
      </c>
      <c r="T166" s="3" t="s">
        <v>60</v>
      </c>
      <c r="U166" s="3" t="s">
        <v>53</v>
      </c>
      <c r="V166" s="3" t="s">
        <v>53</v>
      </c>
      <c r="W166" s="16">
        <v>70</v>
      </c>
      <c r="X166" s="16">
        <v>0</v>
      </c>
      <c r="Y166" s="16">
        <v>0</v>
      </c>
      <c r="Z166" s="3" t="s">
        <v>53</v>
      </c>
      <c r="AA166" s="15"/>
      <c r="AB166" s="3" t="s">
        <v>53</v>
      </c>
      <c r="AC166" s="3" t="s">
        <v>53</v>
      </c>
      <c r="AD166" s="3" t="s">
        <v>52</v>
      </c>
      <c r="AE166" s="16">
        <v>2</v>
      </c>
      <c r="AF166" s="3" t="s">
        <v>54</v>
      </c>
      <c r="AG166" s="3" t="s">
        <v>55</v>
      </c>
      <c r="AH166" s="3" t="s">
        <v>67</v>
      </c>
      <c r="AI166" s="3" t="s">
        <v>67</v>
      </c>
      <c r="AJ166" s="3" t="s">
        <v>70</v>
      </c>
      <c r="AK166" s="3" t="s">
        <v>64</v>
      </c>
      <c r="AL166" s="13">
        <f t="shared" si="26"/>
        <v>13</v>
      </c>
      <c r="AM166" s="15">
        <f t="shared" si="27"/>
        <v>0</v>
      </c>
      <c r="AN166" s="3">
        <f t="shared" si="28"/>
        <v>2</v>
      </c>
      <c r="AO166" s="3" t="str">
        <f t="shared" si="29"/>
        <v>No</v>
      </c>
      <c r="AP166" s="17">
        <f t="shared" si="30"/>
        <v>0.27499999999999991</v>
      </c>
      <c r="AQ166" s="17">
        <f t="shared" si="31"/>
        <v>0.12915897906362139</v>
      </c>
      <c r="AR166" s="17">
        <f t="shared" si="32"/>
        <v>0</v>
      </c>
      <c r="AS166" s="15">
        <f t="shared" si="33"/>
        <v>36428571.428571425</v>
      </c>
      <c r="AT166" s="17">
        <f t="shared" si="34"/>
        <v>0.10588235294117647</v>
      </c>
      <c r="AU166" s="17">
        <f t="shared" si="35"/>
        <v>0.19607843137254902</v>
      </c>
      <c r="AV166" s="15">
        <f t="shared" si="36"/>
        <v>10000000</v>
      </c>
      <c r="AW166" s="18">
        <f t="shared" si="37"/>
        <v>0</v>
      </c>
      <c r="AX166" s="27" t="str">
        <f>IF(OR(K166&lt;Outlier_Audit!$H$2,K166&gt;Outlier_Audit!$I$2),"Review","Normal")</f>
        <v>Normal</v>
      </c>
      <c r="AY166" t="str">
        <f t="shared" si="38"/>
        <v>10-19 years</v>
      </c>
      <c r="AZ166" t="str">
        <f>IF(AQ166="","Missing",IF(AQ166&gt;=EDA_Performance!$B$7,"High Growth",IF(AQ166&lt;=EDA_Performance!$B$5,"Low Growth","Middle")))</f>
        <v>Middle</v>
      </c>
    </row>
    <row r="167" spans="1:52">
      <c r="A167" s="12">
        <v>1614581</v>
      </c>
      <c r="B167" s="3" t="s">
        <v>80</v>
      </c>
      <c r="C167" s="3" t="s">
        <v>58</v>
      </c>
      <c r="D167" s="13">
        <v>25</v>
      </c>
      <c r="E167" s="13">
        <v>2220</v>
      </c>
      <c r="F167" s="13">
        <v>22</v>
      </c>
      <c r="G167" s="3" t="s">
        <v>96</v>
      </c>
      <c r="H167" s="13">
        <v>2015</v>
      </c>
      <c r="I167" s="13">
        <v>16</v>
      </c>
      <c r="J167" s="14">
        <v>1.6450884342193604</v>
      </c>
      <c r="K167" s="15"/>
      <c r="L167" s="15"/>
      <c r="M167" s="16">
        <v>20</v>
      </c>
      <c r="N167" s="13">
        <v>10</v>
      </c>
      <c r="O167" s="13">
        <v>10</v>
      </c>
      <c r="P167" s="15"/>
      <c r="Q167" s="15"/>
      <c r="R167" s="15"/>
      <c r="S167" s="16">
        <v>0</v>
      </c>
      <c r="T167" s="3" t="s">
        <v>52</v>
      </c>
      <c r="U167" s="3" t="s">
        <v>53</v>
      </c>
      <c r="V167" s="3" t="s">
        <v>53</v>
      </c>
      <c r="W167" s="16">
        <v>100</v>
      </c>
      <c r="X167" s="16">
        <v>0</v>
      </c>
      <c r="Y167" s="16">
        <v>0</v>
      </c>
      <c r="Z167" s="3" t="s">
        <v>52</v>
      </c>
      <c r="AA167" s="15">
        <v>2460000</v>
      </c>
      <c r="AB167" s="3" t="s">
        <v>53</v>
      </c>
      <c r="AC167" s="3" t="s">
        <v>53</v>
      </c>
      <c r="AD167" s="3" t="s">
        <v>52</v>
      </c>
      <c r="AE167" s="16">
        <v>8</v>
      </c>
      <c r="AF167" s="3" t="s">
        <v>54</v>
      </c>
      <c r="AG167" s="3" t="s">
        <v>67</v>
      </c>
      <c r="AH167" s="3" t="s">
        <v>62</v>
      </c>
      <c r="AI167" s="3" t="s">
        <v>62</v>
      </c>
      <c r="AJ167" s="3" t="s">
        <v>56</v>
      </c>
      <c r="AK167" s="3" t="s">
        <v>75</v>
      </c>
      <c r="AL167" s="13">
        <f t="shared" si="26"/>
        <v>9</v>
      </c>
      <c r="AM167" s="15">
        <f t="shared" si="27"/>
        <v>2460000</v>
      </c>
      <c r="AN167" s="3">
        <f t="shared" si="28"/>
        <v>8</v>
      </c>
      <c r="AO167" s="3" t="str">
        <f t="shared" si="29"/>
        <v>No</v>
      </c>
      <c r="AP167" s="17" t="str">
        <f t="shared" si="30"/>
        <v/>
      </c>
      <c r="AQ167" s="17" t="str">
        <f t="shared" si="31"/>
        <v/>
      </c>
      <c r="AR167" s="17">
        <f t="shared" si="32"/>
        <v>0</v>
      </c>
      <c r="AS167" s="15" t="str">
        <f t="shared" si="33"/>
        <v/>
      </c>
      <c r="AT167" s="17" t="str">
        <f t="shared" si="34"/>
        <v/>
      </c>
      <c r="AU167" s="17" t="str">
        <f t="shared" si="35"/>
        <v/>
      </c>
      <c r="AV167" s="15" t="str">
        <f t="shared" si="36"/>
        <v/>
      </c>
      <c r="AW167" s="18" t="str">
        <f t="shared" si="37"/>
        <v/>
      </c>
      <c r="AX167" s="27" t="str">
        <f>IF(OR(K167&lt;Outlier_Audit!$H$2,K167&gt;Outlier_Audit!$I$2),"Review","Normal")</f>
        <v>Normal</v>
      </c>
      <c r="AY167" t="str">
        <f t="shared" si="38"/>
        <v>&lt;10 years</v>
      </c>
      <c r="AZ167" t="str">
        <f>IF(AQ167="","Missing",IF(AQ167&gt;=EDA_Performance!$B$7,"High Growth",IF(AQ167&lt;=EDA_Performance!$B$5,"Low Growth","Middle")))</f>
        <v>Missing</v>
      </c>
    </row>
    <row r="168" spans="1:52">
      <c r="A168" s="12">
        <v>1614583</v>
      </c>
      <c r="B168" s="3" t="s">
        <v>65</v>
      </c>
      <c r="C168" s="3" t="s">
        <v>50</v>
      </c>
      <c r="D168" s="13">
        <v>200</v>
      </c>
      <c r="E168" s="13">
        <v>1030</v>
      </c>
      <c r="F168" s="13">
        <v>10</v>
      </c>
      <c r="G168" s="3" t="s">
        <v>51</v>
      </c>
      <c r="H168" s="13">
        <v>1996</v>
      </c>
      <c r="I168" s="13">
        <v>30</v>
      </c>
      <c r="J168" s="14">
        <v>1.5688178539276123</v>
      </c>
      <c r="K168" s="15">
        <v>300000000</v>
      </c>
      <c r="L168" s="15">
        <v>50000000</v>
      </c>
      <c r="M168" s="16">
        <v>80</v>
      </c>
      <c r="N168" s="13">
        <v>50</v>
      </c>
      <c r="O168" s="13">
        <v>20</v>
      </c>
      <c r="P168" s="15">
        <v>200000000</v>
      </c>
      <c r="Q168" s="15">
        <v>50000000</v>
      </c>
      <c r="R168" s="15"/>
      <c r="S168" s="16">
        <v>0</v>
      </c>
      <c r="T168" s="3" t="s">
        <v>52</v>
      </c>
      <c r="U168" s="3" t="s">
        <v>53</v>
      </c>
      <c r="V168" s="3" t="s">
        <v>52</v>
      </c>
      <c r="W168" s="16">
        <v>100</v>
      </c>
      <c r="X168" s="16">
        <v>0</v>
      </c>
      <c r="Y168" s="16">
        <v>0</v>
      </c>
      <c r="Z168" s="3" t="s">
        <v>53</v>
      </c>
      <c r="AA168" s="15"/>
      <c r="AB168" s="3" t="s">
        <v>53</v>
      </c>
      <c r="AC168" s="3" t="s">
        <v>53</v>
      </c>
      <c r="AD168" s="3" t="s">
        <v>52</v>
      </c>
      <c r="AE168" s="16">
        <v>2</v>
      </c>
      <c r="AF168" s="3" t="s">
        <v>62</v>
      </c>
      <c r="AG168" s="3" t="s">
        <v>55</v>
      </c>
      <c r="AH168" s="3" t="s">
        <v>62</v>
      </c>
      <c r="AI168" s="3" t="s">
        <v>67</v>
      </c>
      <c r="AJ168" s="3" t="s">
        <v>56</v>
      </c>
      <c r="AK168" s="3" t="s">
        <v>57</v>
      </c>
      <c r="AL168" s="13">
        <f t="shared" si="26"/>
        <v>28</v>
      </c>
      <c r="AM168" s="15">
        <f t="shared" si="27"/>
        <v>0</v>
      </c>
      <c r="AN168" s="3">
        <f t="shared" si="28"/>
        <v>2</v>
      </c>
      <c r="AO168" s="3" t="str">
        <f t="shared" si="29"/>
        <v>No</v>
      </c>
      <c r="AP168" s="17">
        <f t="shared" si="30"/>
        <v>5</v>
      </c>
      <c r="AQ168" s="17">
        <f t="shared" si="31"/>
        <v>1.4494897427831779</v>
      </c>
      <c r="AR168" s="17">
        <f t="shared" si="32"/>
        <v>1.5</v>
      </c>
      <c r="AS168" s="15">
        <f t="shared" si="33"/>
        <v>6000000</v>
      </c>
      <c r="AT168" s="17">
        <f t="shared" si="34"/>
        <v>0.66666666666666663</v>
      </c>
      <c r="AU168" s="17">
        <f t="shared" si="35"/>
        <v>0.16666666666666666</v>
      </c>
      <c r="AV168" s="15" t="str">
        <f t="shared" si="36"/>
        <v/>
      </c>
      <c r="AW168" s="18">
        <f t="shared" si="37"/>
        <v>0</v>
      </c>
      <c r="AX168" s="27" t="str">
        <f>IF(OR(K168&lt;Outlier_Audit!$H$2,K168&gt;Outlier_Audit!$I$2),"Review","Normal")</f>
        <v>Normal</v>
      </c>
      <c r="AY168" t="str">
        <f t="shared" si="38"/>
        <v>20-29 years</v>
      </c>
      <c r="AZ168" t="str">
        <f>IF(AQ168="","Missing",IF(AQ168&gt;=EDA_Performance!$B$7,"High Growth",IF(AQ168&lt;=EDA_Performance!$B$5,"Low Growth","Middle")))</f>
        <v>High Growth</v>
      </c>
    </row>
    <row r="169" spans="1:52">
      <c r="A169" s="12">
        <v>1614584</v>
      </c>
      <c r="B169" s="3" t="s">
        <v>65</v>
      </c>
      <c r="C169" s="3" t="s">
        <v>50</v>
      </c>
      <c r="D169" s="13">
        <v>636</v>
      </c>
      <c r="E169" s="13">
        <v>2022</v>
      </c>
      <c r="F169" s="13">
        <v>20</v>
      </c>
      <c r="G169" s="3" t="s">
        <v>78</v>
      </c>
      <c r="H169" s="13">
        <v>1963</v>
      </c>
      <c r="I169" s="13">
        <v>32</v>
      </c>
      <c r="J169" s="14">
        <v>1.5749640464782715</v>
      </c>
      <c r="K169" s="15">
        <v>7400000000</v>
      </c>
      <c r="L169" s="15">
        <v>6350000000</v>
      </c>
      <c r="M169" s="16">
        <v>100</v>
      </c>
      <c r="N169" s="13">
        <v>248</v>
      </c>
      <c r="O169" s="13">
        <v>220</v>
      </c>
      <c r="P169" s="15">
        <v>2400000000</v>
      </c>
      <c r="Q169" s="15">
        <v>4320000000</v>
      </c>
      <c r="R169" s="15">
        <v>3700000000</v>
      </c>
      <c r="S169" s="16">
        <v>32</v>
      </c>
      <c r="T169" s="3" t="s">
        <v>52</v>
      </c>
      <c r="U169" s="3" t="s">
        <v>52</v>
      </c>
      <c r="V169" s="3" t="s">
        <v>53</v>
      </c>
      <c r="W169" s="16">
        <v>75</v>
      </c>
      <c r="X169" s="16">
        <v>0</v>
      </c>
      <c r="Y169" s="16">
        <v>25</v>
      </c>
      <c r="Z169" s="3" t="s">
        <v>52</v>
      </c>
      <c r="AA169" s="15">
        <v>300000000</v>
      </c>
      <c r="AB169" s="3" t="s">
        <v>53</v>
      </c>
      <c r="AC169" s="3" t="s">
        <v>53</v>
      </c>
      <c r="AD169" s="3" t="s">
        <v>52</v>
      </c>
      <c r="AE169" s="16">
        <v>4</v>
      </c>
      <c r="AF169" s="3" t="s">
        <v>55</v>
      </c>
      <c r="AG169" s="3" t="s">
        <v>67</v>
      </c>
      <c r="AH169" s="3" t="s">
        <v>67</v>
      </c>
      <c r="AI169" s="3" t="s">
        <v>61</v>
      </c>
      <c r="AJ169" s="3" t="s">
        <v>81</v>
      </c>
      <c r="AK169" s="3" t="s">
        <v>57</v>
      </c>
      <c r="AL169" s="13">
        <f t="shared" si="26"/>
        <v>61</v>
      </c>
      <c r="AM169" s="15">
        <f t="shared" si="27"/>
        <v>300000000</v>
      </c>
      <c r="AN169" s="3">
        <f t="shared" si="28"/>
        <v>4</v>
      </c>
      <c r="AO169" s="3" t="str">
        <f t="shared" si="29"/>
        <v>Yes</v>
      </c>
      <c r="AP169" s="17">
        <f t="shared" si="30"/>
        <v>0.16535433070866135</v>
      </c>
      <c r="AQ169" s="17">
        <f t="shared" si="31"/>
        <v>7.951578529851111E-2</v>
      </c>
      <c r="AR169" s="17">
        <f t="shared" si="32"/>
        <v>0.1272727272727272</v>
      </c>
      <c r="AS169" s="15">
        <f t="shared" si="33"/>
        <v>29838709.677419353</v>
      </c>
      <c r="AT169" s="17">
        <f t="shared" si="34"/>
        <v>0.32432432432432434</v>
      </c>
      <c r="AU169" s="17">
        <f t="shared" si="35"/>
        <v>0.58378378378378382</v>
      </c>
      <c r="AV169" s="15">
        <f t="shared" si="36"/>
        <v>14919354.838709677</v>
      </c>
      <c r="AW169" s="18">
        <f t="shared" si="37"/>
        <v>4.0540540540540543E-2</v>
      </c>
      <c r="AX169" s="27" t="str">
        <f>IF(OR(K169&lt;Outlier_Audit!$H$2,K169&gt;Outlier_Audit!$I$2),"Review","Normal")</f>
        <v>Normal</v>
      </c>
      <c r="AY169" t="str">
        <f t="shared" si="38"/>
        <v>30+ years</v>
      </c>
      <c r="AZ169" t="str">
        <f>IF(AQ169="","Missing",IF(AQ169&gt;=EDA_Performance!$B$7,"High Growth",IF(AQ169&lt;=EDA_Performance!$B$5,"Low Growth","Middle")))</f>
        <v>Middle</v>
      </c>
    </row>
    <row r="170" spans="1:52">
      <c r="A170" s="12">
        <v>1614585</v>
      </c>
      <c r="B170" s="3" t="s">
        <v>65</v>
      </c>
      <c r="C170" s="3" t="s">
        <v>50</v>
      </c>
      <c r="D170" s="13">
        <v>45</v>
      </c>
      <c r="E170" s="13">
        <v>1811</v>
      </c>
      <c r="F170" s="13">
        <v>18</v>
      </c>
      <c r="G170" s="3" t="s">
        <v>72</v>
      </c>
      <c r="H170" s="13">
        <v>2013</v>
      </c>
      <c r="I170" s="13">
        <v>15</v>
      </c>
      <c r="J170" s="14">
        <v>2.0788314342498779</v>
      </c>
      <c r="K170" s="15">
        <v>5100000000</v>
      </c>
      <c r="L170" s="15">
        <v>4950000000</v>
      </c>
      <c r="M170" s="16">
        <v>75</v>
      </c>
      <c r="N170" s="13">
        <v>45</v>
      </c>
      <c r="O170" s="13">
        <v>45</v>
      </c>
      <c r="P170" s="15">
        <v>1620000000</v>
      </c>
      <c r="Q170" s="15">
        <v>2155000000</v>
      </c>
      <c r="R170" s="15">
        <v>7400000000</v>
      </c>
      <c r="S170" s="16">
        <v>0</v>
      </c>
      <c r="T170" s="3" t="s">
        <v>52</v>
      </c>
      <c r="U170" s="3" t="s">
        <v>53</v>
      </c>
      <c r="V170" s="3" t="s">
        <v>53</v>
      </c>
      <c r="W170" s="16">
        <v>40</v>
      </c>
      <c r="X170" s="16">
        <v>40</v>
      </c>
      <c r="Y170" s="16">
        <v>20</v>
      </c>
      <c r="Z170" s="3" t="s">
        <v>52</v>
      </c>
      <c r="AA170" s="15">
        <v>60000000</v>
      </c>
      <c r="AB170" s="3" t="s">
        <v>52</v>
      </c>
      <c r="AC170" s="3" t="s">
        <v>52</v>
      </c>
      <c r="AD170" s="3" t="s">
        <v>52</v>
      </c>
      <c r="AE170" s="16">
        <v>12</v>
      </c>
      <c r="AF170" s="3" t="s">
        <v>61</v>
      </c>
      <c r="AG170" s="3" t="s">
        <v>55</v>
      </c>
      <c r="AH170" s="3" t="s">
        <v>62</v>
      </c>
      <c r="AI170" s="3" t="s">
        <v>61</v>
      </c>
      <c r="AJ170" s="3" t="s">
        <v>77</v>
      </c>
      <c r="AK170" s="3" t="s">
        <v>57</v>
      </c>
      <c r="AL170" s="13">
        <f t="shared" si="26"/>
        <v>11</v>
      </c>
      <c r="AM170" s="15">
        <f t="shared" si="27"/>
        <v>60000000</v>
      </c>
      <c r="AN170" s="3">
        <f t="shared" si="28"/>
        <v>12</v>
      </c>
      <c r="AO170" s="3" t="str">
        <f t="shared" si="29"/>
        <v>No</v>
      </c>
      <c r="AP170" s="17">
        <f t="shared" si="30"/>
        <v>3.0303030303030276E-2</v>
      </c>
      <c r="AQ170" s="17">
        <f t="shared" si="31"/>
        <v>1.5038437845104502E-2</v>
      </c>
      <c r="AR170" s="17">
        <f t="shared" si="32"/>
        <v>0</v>
      </c>
      <c r="AS170" s="15">
        <f t="shared" si="33"/>
        <v>113333333.33333333</v>
      </c>
      <c r="AT170" s="17">
        <f t="shared" si="34"/>
        <v>0.31764705882352939</v>
      </c>
      <c r="AU170" s="17">
        <f t="shared" si="35"/>
        <v>0.42254901960784313</v>
      </c>
      <c r="AV170" s="15">
        <f t="shared" si="36"/>
        <v>164444444.44444445</v>
      </c>
      <c r="AW170" s="18">
        <f t="shared" si="37"/>
        <v>1.1764705882352941E-2</v>
      </c>
      <c r="AX170" s="27" t="str">
        <f>IF(OR(K170&lt;Outlier_Audit!$H$2,K170&gt;Outlier_Audit!$I$2),"Review","Normal")</f>
        <v>Normal</v>
      </c>
      <c r="AY170" t="str">
        <f t="shared" si="38"/>
        <v>10-19 years</v>
      </c>
      <c r="AZ170" t="str">
        <f>IF(AQ170="","Missing",IF(AQ170&gt;=EDA_Performance!$B$7,"High Growth",IF(AQ170&lt;=EDA_Performance!$B$5,"Low Growth","Middle")))</f>
        <v>Low Growth</v>
      </c>
    </row>
    <row r="171" spans="1:52">
      <c r="A171" s="12">
        <v>1614589</v>
      </c>
      <c r="B171" s="3" t="s">
        <v>49</v>
      </c>
      <c r="C171" s="3" t="s">
        <v>50</v>
      </c>
      <c r="D171" s="13">
        <v>800</v>
      </c>
      <c r="E171" s="13">
        <v>1061</v>
      </c>
      <c r="F171" s="13">
        <v>10</v>
      </c>
      <c r="G171" s="3" t="s">
        <v>51</v>
      </c>
      <c r="H171" s="13">
        <v>2004</v>
      </c>
      <c r="I171" s="13">
        <v>20</v>
      </c>
      <c r="J171" s="14">
        <v>1</v>
      </c>
      <c r="K171" s="15">
        <v>4000000000</v>
      </c>
      <c r="L171" s="15">
        <v>3000000000</v>
      </c>
      <c r="M171" s="16">
        <v>60</v>
      </c>
      <c r="N171" s="13">
        <v>220</v>
      </c>
      <c r="O171" s="13">
        <v>200</v>
      </c>
      <c r="P171" s="15">
        <v>2000000000</v>
      </c>
      <c r="Q171" s="15">
        <v>200000000</v>
      </c>
      <c r="R171" s="15">
        <v>12000000000</v>
      </c>
      <c r="S171" s="16">
        <v>0</v>
      </c>
      <c r="T171" s="3" t="s">
        <v>52</v>
      </c>
      <c r="U171" s="3" t="s">
        <v>52</v>
      </c>
      <c r="V171" s="3" t="s">
        <v>53</v>
      </c>
      <c r="W171" s="16">
        <v>40</v>
      </c>
      <c r="X171" s="16">
        <v>40</v>
      </c>
      <c r="Y171" s="16">
        <v>20</v>
      </c>
      <c r="Z171" s="3" t="s">
        <v>52</v>
      </c>
      <c r="AA171" s="15">
        <v>200000000</v>
      </c>
      <c r="AB171" s="3" t="s">
        <v>52</v>
      </c>
      <c r="AC171" s="3" t="s">
        <v>52</v>
      </c>
      <c r="AD171" s="3" t="s">
        <v>52</v>
      </c>
      <c r="AE171" s="16">
        <v>10</v>
      </c>
      <c r="AF171" s="3" t="s">
        <v>67</v>
      </c>
      <c r="AG171" s="3" t="s">
        <v>55</v>
      </c>
      <c r="AH171" s="3" t="s">
        <v>67</v>
      </c>
      <c r="AI171" s="3" t="s">
        <v>55</v>
      </c>
      <c r="AJ171" s="3" t="s">
        <v>56</v>
      </c>
      <c r="AK171" s="3" t="s">
        <v>57</v>
      </c>
      <c r="AL171" s="13">
        <f t="shared" si="26"/>
        <v>20</v>
      </c>
      <c r="AM171" s="15">
        <f t="shared" si="27"/>
        <v>200000000</v>
      </c>
      <c r="AN171" s="3">
        <f t="shared" si="28"/>
        <v>10</v>
      </c>
      <c r="AO171" s="3" t="str">
        <f t="shared" si="29"/>
        <v>No</v>
      </c>
      <c r="AP171" s="17">
        <f t="shared" si="30"/>
        <v>0.33333333333333326</v>
      </c>
      <c r="AQ171" s="17">
        <f t="shared" si="31"/>
        <v>0.15470053837925146</v>
      </c>
      <c r="AR171" s="17">
        <f t="shared" si="32"/>
        <v>0.10000000000000009</v>
      </c>
      <c r="AS171" s="15">
        <f t="shared" si="33"/>
        <v>18181818.181818184</v>
      </c>
      <c r="AT171" s="17">
        <f t="shared" si="34"/>
        <v>0.5</v>
      </c>
      <c r="AU171" s="17">
        <f t="shared" si="35"/>
        <v>0.05</v>
      </c>
      <c r="AV171" s="15">
        <f t="shared" si="36"/>
        <v>54545454.545454547</v>
      </c>
      <c r="AW171" s="18">
        <f t="shared" si="37"/>
        <v>0.05</v>
      </c>
      <c r="AX171" s="27" t="str">
        <f>IF(OR(K171&lt;Outlier_Audit!$H$2,K171&gt;Outlier_Audit!$I$2),"Review","Normal")</f>
        <v>Normal</v>
      </c>
      <c r="AY171" t="str">
        <f t="shared" si="38"/>
        <v>20-29 years</v>
      </c>
      <c r="AZ171" t="str">
        <f>IF(AQ171="","Missing",IF(AQ171&gt;=EDA_Performance!$B$7,"High Growth",IF(AQ171&lt;=EDA_Performance!$B$5,"Low Growth","Middle")))</f>
        <v>Middle</v>
      </c>
    </row>
    <row r="172" spans="1:52">
      <c r="A172" s="12">
        <v>1614591</v>
      </c>
      <c r="B172" s="3" t="s">
        <v>49</v>
      </c>
      <c r="C172" s="3" t="s">
        <v>58</v>
      </c>
      <c r="D172" s="13">
        <v>10</v>
      </c>
      <c r="E172" s="13">
        <v>1061</v>
      </c>
      <c r="F172" s="13">
        <v>10</v>
      </c>
      <c r="G172" s="3" t="s">
        <v>51</v>
      </c>
      <c r="H172" s="13">
        <v>1998</v>
      </c>
      <c r="I172" s="13">
        <v>27</v>
      </c>
      <c r="J172" s="14">
        <v>7.8952765464782715</v>
      </c>
      <c r="K172" s="15">
        <v>45000000</v>
      </c>
      <c r="L172" s="15">
        <v>42000000</v>
      </c>
      <c r="M172" s="16">
        <v>70</v>
      </c>
      <c r="N172" s="13">
        <v>10</v>
      </c>
      <c r="O172" s="13">
        <v>10</v>
      </c>
      <c r="P172" s="15">
        <v>20000000</v>
      </c>
      <c r="Q172" s="15">
        <v>15000000</v>
      </c>
      <c r="R172" s="15">
        <v>25000000</v>
      </c>
      <c r="S172" s="16">
        <v>0</v>
      </c>
      <c r="T172" s="3" t="s">
        <v>60</v>
      </c>
      <c r="U172" s="3" t="s">
        <v>52</v>
      </c>
      <c r="V172" s="3" t="s">
        <v>52</v>
      </c>
      <c r="W172" s="16">
        <v>20</v>
      </c>
      <c r="X172" s="16">
        <v>70</v>
      </c>
      <c r="Y172" s="16">
        <v>0</v>
      </c>
      <c r="Z172" s="3" t="s">
        <v>53</v>
      </c>
      <c r="AA172" s="15"/>
      <c r="AB172" s="3" t="s">
        <v>52</v>
      </c>
      <c r="AC172" s="3" t="s">
        <v>53</v>
      </c>
      <c r="AD172" s="3" t="s">
        <v>52</v>
      </c>
      <c r="AE172" s="16">
        <v>22</v>
      </c>
      <c r="AF172" s="3" t="s">
        <v>61</v>
      </c>
      <c r="AG172" s="3" t="s">
        <v>61</v>
      </c>
      <c r="AH172" s="3" t="s">
        <v>62</v>
      </c>
      <c r="AI172" s="3" t="s">
        <v>67</v>
      </c>
      <c r="AJ172" s="3" t="s">
        <v>63</v>
      </c>
      <c r="AK172" s="3" t="s">
        <v>57</v>
      </c>
      <c r="AL172" s="13">
        <f t="shared" si="26"/>
        <v>26</v>
      </c>
      <c r="AM172" s="15">
        <f t="shared" si="27"/>
        <v>0</v>
      </c>
      <c r="AN172" s="3">
        <f t="shared" si="28"/>
        <v>22</v>
      </c>
      <c r="AO172" s="3" t="str">
        <f t="shared" si="29"/>
        <v>No</v>
      </c>
      <c r="AP172" s="17">
        <f t="shared" si="30"/>
        <v>7.1428571428571397E-2</v>
      </c>
      <c r="AQ172" s="17">
        <f t="shared" si="31"/>
        <v>3.5098339013531321E-2</v>
      </c>
      <c r="AR172" s="17">
        <f t="shared" si="32"/>
        <v>0</v>
      </c>
      <c r="AS172" s="15">
        <f t="shared" si="33"/>
        <v>4500000</v>
      </c>
      <c r="AT172" s="17">
        <f t="shared" si="34"/>
        <v>0.44444444444444442</v>
      </c>
      <c r="AU172" s="17">
        <f t="shared" si="35"/>
        <v>0.33333333333333331</v>
      </c>
      <c r="AV172" s="15">
        <f t="shared" si="36"/>
        <v>2500000</v>
      </c>
      <c r="AW172" s="18">
        <f t="shared" si="37"/>
        <v>0</v>
      </c>
      <c r="AX172" s="27" t="str">
        <f>IF(OR(K172&lt;Outlier_Audit!$H$2,K172&gt;Outlier_Audit!$I$2),"Review","Normal")</f>
        <v>Normal</v>
      </c>
      <c r="AY172" t="str">
        <f t="shared" si="38"/>
        <v>20-29 years</v>
      </c>
      <c r="AZ172" t="str">
        <f>IF(AQ172="","Missing",IF(AQ172&gt;=EDA_Performance!$B$7,"High Growth",IF(AQ172&lt;=EDA_Performance!$B$5,"Low Growth","Middle")))</f>
        <v>Low Growth</v>
      </c>
    </row>
    <row r="173" spans="1:52">
      <c r="A173" s="12">
        <v>1614594</v>
      </c>
      <c r="B173" s="3" t="s">
        <v>80</v>
      </c>
      <c r="C173" s="3" t="s">
        <v>66</v>
      </c>
      <c r="D173" s="13">
        <v>5</v>
      </c>
      <c r="E173" s="13">
        <v>1811</v>
      </c>
      <c r="F173" s="13">
        <v>18</v>
      </c>
      <c r="G173" s="3" t="s">
        <v>72</v>
      </c>
      <c r="H173" s="13">
        <v>2004</v>
      </c>
      <c r="I173" s="13">
        <v>20</v>
      </c>
      <c r="J173" s="14">
        <v>9.1390228271484375</v>
      </c>
      <c r="K173" s="15">
        <v>200000000</v>
      </c>
      <c r="L173" s="15">
        <v>180000000</v>
      </c>
      <c r="M173" s="16">
        <v>100</v>
      </c>
      <c r="N173" s="13">
        <v>5</v>
      </c>
      <c r="O173" s="13">
        <v>6</v>
      </c>
      <c r="P173" s="15">
        <v>9600000</v>
      </c>
      <c r="Q173" s="15">
        <v>60000000</v>
      </c>
      <c r="R173" s="15">
        <v>160000000</v>
      </c>
      <c r="S173" s="16">
        <v>0</v>
      </c>
      <c r="T173" s="3" t="s">
        <v>60</v>
      </c>
      <c r="U173" s="3" t="s">
        <v>53</v>
      </c>
      <c r="V173" s="3" t="s">
        <v>53</v>
      </c>
      <c r="W173" s="16">
        <v>15</v>
      </c>
      <c r="X173" s="16">
        <v>20</v>
      </c>
      <c r="Y173" s="16">
        <v>0</v>
      </c>
      <c r="Z173" s="3" t="s">
        <v>52</v>
      </c>
      <c r="AA173" s="15">
        <v>11000000</v>
      </c>
      <c r="AB173" s="3" t="s">
        <v>53</v>
      </c>
      <c r="AC173" s="3" t="s">
        <v>53</v>
      </c>
      <c r="AD173" s="3" t="s">
        <v>52</v>
      </c>
      <c r="AE173" s="16">
        <v>4</v>
      </c>
      <c r="AF173" s="3" t="s">
        <v>55</v>
      </c>
      <c r="AG173" s="3" t="s">
        <v>67</v>
      </c>
      <c r="AH173" s="3" t="s">
        <v>67</v>
      </c>
      <c r="AI173" s="3" t="s">
        <v>61</v>
      </c>
      <c r="AJ173" s="3" t="s">
        <v>70</v>
      </c>
      <c r="AK173" s="3" t="s">
        <v>64</v>
      </c>
      <c r="AL173" s="13">
        <f t="shared" si="26"/>
        <v>20</v>
      </c>
      <c r="AM173" s="15">
        <f t="shared" si="27"/>
        <v>11000000</v>
      </c>
      <c r="AN173" s="3">
        <f t="shared" si="28"/>
        <v>4</v>
      </c>
      <c r="AO173" s="3" t="str">
        <f t="shared" si="29"/>
        <v>No</v>
      </c>
      <c r="AP173" s="17">
        <f t="shared" si="30"/>
        <v>0.11111111111111116</v>
      </c>
      <c r="AQ173" s="17">
        <f t="shared" si="31"/>
        <v>5.4092553389459841E-2</v>
      </c>
      <c r="AR173" s="17">
        <f t="shared" si="32"/>
        <v>-0.16666666666666663</v>
      </c>
      <c r="AS173" s="15">
        <f t="shared" si="33"/>
        <v>40000000</v>
      </c>
      <c r="AT173" s="17">
        <f t="shared" si="34"/>
        <v>4.8000000000000001E-2</v>
      </c>
      <c r="AU173" s="17">
        <f t="shared" si="35"/>
        <v>0.3</v>
      </c>
      <c r="AV173" s="15">
        <f t="shared" si="36"/>
        <v>32000000</v>
      </c>
      <c r="AW173" s="18">
        <f t="shared" si="37"/>
        <v>5.5E-2</v>
      </c>
      <c r="AX173" s="27" t="str">
        <f>IF(OR(K173&lt;Outlier_Audit!$H$2,K173&gt;Outlier_Audit!$I$2),"Review","Normal")</f>
        <v>Normal</v>
      </c>
      <c r="AY173" t="str">
        <f t="shared" si="38"/>
        <v>20-29 years</v>
      </c>
      <c r="AZ173" t="str">
        <f>IF(AQ173="","Missing",IF(AQ173&gt;=EDA_Performance!$B$7,"High Growth",IF(AQ173&lt;=EDA_Performance!$B$5,"Low Growth","Middle")))</f>
        <v>Middle</v>
      </c>
    </row>
    <row r="174" spans="1:52">
      <c r="A174" s="12">
        <v>1614598</v>
      </c>
      <c r="B174" s="3" t="s">
        <v>74</v>
      </c>
      <c r="C174" s="3" t="s">
        <v>66</v>
      </c>
      <c r="D174" s="13">
        <v>25</v>
      </c>
      <c r="E174" s="13">
        <v>1071</v>
      </c>
      <c r="F174" s="13">
        <v>10</v>
      </c>
      <c r="G174" s="3" t="s">
        <v>51</v>
      </c>
      <c r="H174" s="13">
        <v>1990</v>
      </c>
      <c r="I174" s="13">
        <v>35</v>
      </c>
      <c r="J174" s="14">
        <v>1.6504706144332886</v>
      </c>
      <c r="K174" s="15">
        <v>160000000</v>
      </c>
      <c r="L174" s="15">
        <v>80000000</v>
      </c>
      <c r="M174" s="16">
        <v>75</v>
      </c>
      <c r="N174" s="13">
        <v>16</v>
      </c>
      <c r="O174" s="13">
        <v>8</v>
      </c>
      <c r="P174" s="15">
        <v>40800000</v>
      </c>
      <c r="Q174" s="15">
        <v>100000000</v>
      </c>
      <c r="R174" s="15">
        <v>200000000</v>
      </c>
      <c r="S174" s="16">
        <v>0</v>
      </c>
      <c r="T174" s="3" t="s">
        <v>52</v>
      </c>
      <c r="U174" s="3" t="s">
        <v>53</v>
      </c>
      <c r="V174" s="3" t="s">
        <v>53</v>
      </c>
      <c r="W174" s="16">
        <v>60</v>
      </c>
      <c r="X174" s="16">
        <v>0</v>
      </c>
      <c r="Y174" s="16">
        <v>40</v>
      </c>
      <c r="Z174" s="3" t="s">
        <v>52</v>
      </c>
      <c r="AA174" s="15">
        <v>0</v>
      </c>
      <c r="AB174" s="3" t="s">
        <v>52</v>
      </c>
      <c r="AC174" s="3" t="s">
        <v>53</v>
      </c>
      <c r="AD174" s="3" t="s">
        <v>52</v>
      </c>
      <c r="AE174" s="16">
        <v>3</v>
      </c>
      <c r="AF174" s="3" t="s">
        <v>54</v>
      </c>
      <c r="AG174" s="3" t="s">
        <v>55</v>
      </c>
      <c r="AH174" s="3" t="s">
        <v>54</v>
      </c>
      <c r="AI174" s="3" t="s">
        <v>55</v>
      </c>
      <c r="AJ174" s="3" t="s">
        <v>70</v>
      </c>
      <c r="AK174" s="3" t="s">
        <v>57</v>
      </c>
      <c r="AL174" s="13">
        <f t="shared" si="26"/>
        <v>34</v>
      </c>
      <c r="AM174" s="15">
        <f t="shared" si="27"/>
        <v>0</v>
      </c>
      <c r="AN174" s="3">
        <f t="shared" si="28"/>
        <v>3</v>
      </c>
      <c r="AO174" s="3" t="str">
        <f t="shared" si="29"/>
        <v>No</v>
      </c>
      <c r="AP174" s="17">
        <f t="shared" si="30"/>
        <v>1</v>
      </c>
      <c r="AQ174" s="17">
        <f t="shared" si="31"/>
        <v>0.41421356237309515</v>
      </c>
      <c r="AR174" s="17">
        <f t="shared" si="32"/>
        <v>1</v>
      </c>
      <c r="AS174" s="15">
        <f t="shared" si="33"/>
        <v>10000000</v>
      </c>
      <c r="AT174" s="17">
        <f t="shared" si="34"/>
        <v>0.255</v>
      </c>
      <c r="AU174" s="17">
        <f t="shared" si="35"/>
        <v>0.625</v>
      </c>
      <c r="AV174" s="15">
        <f t="shared" si="36"/>
        <v>12500000</v>
      </c>
      <c r="AW174" s="18">
        <f t="shared" si="37"/>
        <v>0</v>
      </c>
      <c r="AX174" s="27" t="str">
        <f>IF(OR(K174&lt;Outlier_Audit!$H$2,K174&gt;Outlier_Audit!$I$2),"Review","Normal")</f>
        <v>Normal</v>
      </c>
      <c r="AY174" t="str">
        <f t="shared" si="38"/>
        <v>30+ years</v>
      </c>
      <c r="AZ174" t="str">
        <f>IF(AQ174="","Missing",IF(AQ174&gt;=EDA_Performance!$B$7,"High Growth",IF(AQ174&lt;=EDA_Performance!$B$5,"Low Growth","Middle")))</f>
        <v>High Growth</v>
      </c>
    </row>
    <row r="175" spans="1:52">
      <c r="A175" s="12">
        <v>1614601</v>
      </c>
      <c r="B175" s="3" t="s">
        <v>74</v>
      </c>
      <c r="C175" s="3" t="s">
        <v>66</v>
      </c>
      <c r="D175" s="13">
        <v>15</v>
      </c>
      <c r="E175" s="13">
        <v>1079</v>
      </c>
      <c r="F175" s="13">
        <v>10</v>
      </c>
      <c r="G175" s="3" t="s">
        <v>51</v>
      </c>
      <c r="H175" s="13">
        <v>2015</v>
      </c>
      <c r="I175" s="13">
        <v>3</v>
      </c>
      <c r="J175" s="14">
        <v>1.6504706144332886</v>
      </c>
      <c r="K175" s="15">
        <v>270000000</v>
      </c>
      <c r="L175" s="15">
        <v>250000000</v>
      </c>
      <c r="M175" s="16">
        <v>90</v>
      </c>
      <c r="N175" s="13">
        <v>10</v>
      </c>
      <c r="O175" s="13">
        <v>8</v>
      </c>
      <c r="P175" s="15">
        <v>6000000</v>
      </c>
      <c r="Q175" s="15">
        <v>0</v>
      </c>
      <c r="R175" s="15">
        <v>200000000</v>
      </c>
      <c r="S175" s="16">
        <v>0</v>
      </c>
      <c r="T175" s="3" t="s">
        <v>60</v>
      </c>
      <c r="U175" s="3" t="s">
        <v>53</v>
      </c>
      <c r="V175" s="3" t="s">
        <v>53</v>
      </c>
      <c r="W175" s="16">
        <v>70</v>
      </c>
      <c r="X175" s="16">
        <v>0</v>
      </c>
      <c r="Y175" s="16">
        <v>0</v>
      </c>
      <c r="Z175" s="3" t="s">
        <v>52</v>
      </c>
      <c r="AA175" s="15">
        <v>0</v>
      </c>
      <c r="AB175" s="3" t="s">
        <v>52</v>
      </c>
      <c r="AC175" s="3" t="s">
        <v>52</v>
      </c>
      <c r="AD175" s="3" t="s">
        <v>52</v>
      </c>
      <c r="AE175" s="16">
        <v>100</v>
      </c>
      <c r="AF175" s="3" t="s">
        <v>61</v>
      </c>
      <c r="AG175" s="3" t="s">
        <v>55</v>
      </c>
      <c r="AH175" s="3" t="s">
        <v>54</v>
      </c>
      <c r="AI175" s="3" t="s">
        <v>54</v>
      </c>
      <c r="AJ175" s="3" t="s">
        <v>63</v>
      </c>
      <c r="AK175" s="3" t="s">
        <v>75</v>
      </c>
      <c r="AL175" s="13">
        <f t="shared" si="26"/>
        <v>9</v>
      </c>
      <c r="AM175" s="15">
        <f t="shared" si="27"/>
        <v>0</v>
      </c>
      <c r="AN175" s="3">
        <f t="shared" si="28"/>
        <v>100</v>
      </c>
      <c r="AO175" s="3" t="str">
        <f t="shared" si="29"/>
        <v>No</v>
      </c>
      <c r="AP175" s="17">
        <f t="shared" si="30"/>
        <v>8.0000000000000071E-2</v>
      </c>
      <c r="AQ175" s="17">
        <f t="shared" si="31"/>
        <v>3.9230484541326494E-2</v>
      </c>
      <c r="AR175" s="17">
        <f t="shared" si="32"/>
        <v>0.25</v>
      </c>
      <c r="AS175" s="15">
        <f t="shared" si="33"/>
        <v>27000000</v>
      </c>
      <c r="AT175" s="17">
        <f t="shared" si="34"/>
        <v>2.2222222222222223E-2</v>
      </c>
      <c r="AU175" s="17">
        <f t="shared" si="35"/>
        <v>0</v>
      </c>
      <c r="AV175" s="15">
        <f t="shared" si="36"/>
        <v>20000000</v>
      </c>
      <c r="AW175" s="18">
        <f t="shared" si="37"/>
        <v>0</v>
      </c>
      <c r="AX175" s="27" t="str">
        <f>IF(OR(K175&lt;Outlier_Audit!$H$2,K175&gt;Outlier_Audit!$I$2),"Review","Normal")</f>
        <v>Normal</v>
      </c>
      <c r="AY175" t="str">
        <f t="shared" si="38"/>
        <v>&lt;10 years</v>
      </c>
      <c r="AZ175" t="str">
        <f>IF(AQ175="","Missing",IF(AQ175&gt;=EDA_Performance!$B$7,"High Growth",IF(AQ175&lt;=EDA_Performance!$B$5,"Low Growth","Middle")))</f>
        <v>Low Growth</v>
      </c>
    </row>
    <row r="176" spans="1:52">
      <c r="A176" s="12">
        <v>1614603</v>
      </c>
      <c r="B176" s="3" t="s">
        <v>65</v>
      </c>
      <c r="C176" s="3" t="s">
        <v>50</v>
      </c>
      <c r="D176" s="13">
        <v>149</v>
      </c>
      <c r="E176" s="13">
        <v>1020</v>
      </c>
      <c r="F176" s="13">
        <v>10</v>
      </c>
      <c r="G176" s="3" t="s">
        <v>51</v>
      </c>
      <c r="H176" s="13">
        <v>2008</v>
      </c>
      <c r="I176" s="13">
        <v>25</v>
      </c>
      <c r="J176" s="14">
        <v>1.5688178539276123</v>
      </c>
      <c r="K176" s="15">
        <v>89770000000</v>
      </c>
      <c r="L176" s="15">
        <v>45000000000</v>
      </c>
      <c r="M176" s="16">
        <v>60</v>
      </c>
      <c r="N176" s="13">
        <v>131</v>
      </c>
      <c r="O176" s="13">
        <v>96</v>
      </c>
      <c r="P176" s="15">
        <v>1956762000</v>
      </c>
      <c r="Q176" s="15">
        <v>48000000000</v>
      </c>
      <c r="R176" s="15">
        <v>2130726400</v>
      </c>
      <c r="S176" s="16">
        <v>89</v>
      </c>
      <c r="T176" s="3" t="s">
        <v>52</v>
      </c>
      <c r="U176" s="3" t="s">
        <v>53</v>
      </c>
      <c r="V176" s="3" t="s">
        <v>53</v>
      </c>
      <c r="W176" s="16">
        <v>50</v>
      </c>
      <c r="X176" s="16">
        <v>50</v>
      </c>
      <c r="Y176" s="16">
        <v>0</v>
      </c>
      <c r="Z176" s="3" t="s">
        <v>52</v>
      </c>
      <c r="AA176" s="15">
        <v>83000000</v>
      </c>
      <c r="AB176" s="3" t="s">
        <v>53</v>
      </c>
      <c r="AC176" s="3" t="s">
        <v>52</v>
      </c>
      <c r="AD176" s="3" t="s">
        <v>52</v>
      </c>
      <c r="AE176" s="16">
        <v>2</v>
      </c>
      <c r="AF176" s="3" t="s">
        <v>54</v>
      </c>
      <c r="AG176" s="3" t="s">
        <v>61</v>
      </c>
      <c r="AH176" s="3" t="s">
        <v>67</v>
      </c>
      <c r="AI176" s="3" t="s">
        <v>54</v>
      </c>
      <c r="AJ176" s="3" t="s">
        <v>70</v>
      </c>
      <c r="AK176" s="3" t="s">
        <v>64</v>
      </c>
      <c r="AL176" s="13">
        <f t="shared" si="26"/>
        <v>16</v>
      </c>
      <c r="AM176" s="15">
        <f t="shared" si="27"/>
        <v>83000000</v>
      </c>
      <c r="AN176" s="3">
        <f t="shared" si="28"/>
        <v>2</v>
      </c>
      <c r="AO176" s="3" t="str">
        <f t="shared" si="29"/>
        <v>Yes</v>
      </c>
      <c r="AP176" s="17">
        <f t="shared" si="30"/>
        <v>0.99488888888888893</v>
      </c>
      <c r="AQ176" s="17">
        <f t="shared" si="31"/>
        <v>0.4124053557279117</v>
      </c>
      <c r="AR176" s="17">
        <f t="shared" si="32"/>
        <v>0.36458333333333326</v>
      </c>
      <c r="AS176" s="15">
        <f t="shared" si="33"/>
        <v>685267175.57251906</v>
      </c>
      <c r="AT176" s="17">
        <f t="shared" si="34"/>
        <v>2.1797504734321044E-2</v>
      </c>
      <c r="AU176" s="17">
        <f t="shared" si="35"/>
        <v>0.53469978834800047</v>
      </c>
      <c r="AV176" s="15">
        <f t="shared" si="36"/>
        <v>16265087.022900764</v>
      </c>
      <c r="AW176" s="18">
        <f t="shared" si="37"/>
        <v>9.2458505068508407E-4</v>
      </c>
      <c r="AX176" s="27" t="str">
        <f>IF(OR(K176&lt;Outlier_Audit!$H$2,K176&gt;Outlier_Audit!$I$2),"Review","Normal")</f>
        <v>Review</v>
      </c>
      <c r="AY176" t="str">
        <f t="shared" si="38"/>
        <v>10-19 years</v>
      </c>
      <c r="AZ176" t="str">
        <f>IF(AQ176="","Missing",IF(AQ176&gt;=EDA_Performance!$B$7,"High Growth",IF(AQ176&lt;=EDA_Performance!$B$5,"Low Growth","Middle")))</f>
        <v>High Growth</v>
      </c>
    </row>
    <row r="177" spans="1:52">
      <c r="A177" s="12">
        <v>1614604</v>
      </c>
      <c r="B177" s="3" t="s">
        <v>74</v>
      </c>
      <c r="C177" s="3" t="s">
        <v>66</v>
      </c>
      <c r="D177" s="13">
        <v>15</v>
      </c>
      <c r="E177" s="13">
        <v>3100</v>
      </c>
      <c r="F177" s="13">
        <v>31</v>
      </c>
      <c r="G177" s="3" t="s">
        <v>71</v>
      </c>
      <c r="H177" s="13">
        <v>2019</v>
      </c>
      <c r="I177" s="13">
        <v>12</v>
      </c>
      <c r="J177" s="14">
        <v>2.6198341846466064</v>
      </c>
      <c r="K177" s="15">
        <v>350000000</v>
      </c>
      <c r="L177" s="15">
        <v>380000000</v>
      </c>
      <c r="M177" s="16">
        <v>10</v>
      </c>
      <c r="N177" s="13">
        <v>5</v>
      </c>
      <c r="O177" s="13">
        <v>5</v>
      </c>
      <c r="P177" s="15">
        <v>75000000</v>
      </c>
      <c r="Q177" s="15">
        <v>210000000</v>
      </c>
      <c r="R177" s="15">
        <v>35000000</v>
      </c>
      <c r="S177" s="16">
        <v>0</v>
      </c>
      <c r="T177" s="3" t="s">
        <v>60</v>
      </c>
      <c r="U177" s="3" t="s">
        <v>53</v>
      </c>
      <c r="V177" s="3" t="s">
        <v>52</v>
      </c>
      <c r="W177" s="16">
        <v>15</v>
      </c>
      <c r="X177" s="16">
        <v>0</v>
      </c>
      <c r="Y177" s="16">
        <v>30</v>
      </c>
      <c r="Z177" s="3" t="s">
        <v>52</v>
      </c>
      <c r="AA177" s="15">
        <v>1000000</v>
      </c>
      <c r="AB177" s="3" t="s">
        <v>52</v>
      </c>
      <c r="AC177" s="3" t="s">
        <v>53</v>
      </c>
      <c r="AD177" s="3" t="s">
        <v>52</v>
      </c>
      <c r="AE177" s="16">
        <v>5</v>
      </c>
      <c r="AF177" s="3" t="s">
        <v>54</v>
      </c>
      <c r="AG177" s="3" t="s">
        <v>54</v>
      </c>
      <c r="AH177" s="3" t="s">
        <v>67</v>
      </c>
      <c r="AI177" s="3" t="s">
        <v>55</v>
      </c>
      <c r="AJ177" s="3" t="s">
        <v>79</v>
      </c>
      <c r="AK177" s="3" t="s">
        <v>75</v>
      </c>
      <c r="AL177" s="13">
        <f t="shared" si="26"/>
        <v>5</v>
      </c>
      <c r="AM177" s="15">
        <f t="shared" si="27"/>
        <v>1000000</v>
      </c>
      <c r="AN177" s="3">
        <f t="shared" si="28"/>
        <v>5</v>
      </c>
      <c r="AO177" s="3" t="str">
        <f t="shared" si="29"/>
        <v>No</v>
      </c>
      <c r="AP177" s="17">
        <f t="shared" si="30"/>
        <v>-7.8947368421052655E-2</v>
      </c>
      <c r="AQ177" s="17">
        <f t="shared" si="31"/>
        <v>-4.0285130062606922E-2</v>
      </c>
      <c r="AR177" s="17">
        <f t="shared" si="32"/>
        <v>0</v>
      </c>
      <c r="AS177" s="15">
        <f t="shared" si="33"/>
        <v>70000000</v>
      </c>
      <c r="AT177" s="17">
        <f t="shared" si="34"/>
        <v>0.21428571428571427</v>
      </c>
      <c r="AU177" s="17">
        <f t="shared" si="35"/>
        <v>0.6</v>
      </c>
      <c r="AV177" s="15">
        <f t="shared" si="36"/>
        <v>7000000</v>
      </c>
      <c r="AW177" s="18">
        <f t="shared" si="37"/>
        <v>2.8571428571428571E-3</v>
      </c>
      <c r="AX177" s="27" t="str">
        <f>IF(OR(K177&lt;Outlier_Audit!$H$2,K177&gt;Outlier_Audit!$I$2),"Review","Normal")</f>
        <v>Normal</v>
      </c>
      <c r="AY177" t="str">
        <f t="shared" si="38"/>
        <v>&lt;10 years</v>
      </c>
      <c r="AZ177" t="str">
        <f>IF(AQ177="","Missing",IF(AQ177&gt;=EDA_Performance!$B$7,"High Growth",IF(AQ177&lt;=EDA_Performance!$B$5,"Low Growth","Middle")))</f>
        <v>Low Growth</v>
      </c>
    </row>
    <row r="178" spans="1:52">
      <c r="A178" s="12">
        <v>1614607</v>
      </c>
      <c r="B178" s="3" t="s">
        <v>74</v>
      </c>
      <c r="C178" s="3" t="s">
        <v>66</v>
      </c>
      <c r="D178" s="13">
        <v>5</v>
      </c>
      <c r="E178" s="13">
        <v>2511</v>
      </c>
      <c r="F178" s="13">
        <v>25</v>
      </c>
      <c r="G178" s="3" t="s">
        <v>76</v>
      </c>
      <c r="H178" s="13">
        <v>2010</v>
      </c>
      <c r="I178" s="13">
        <v>15</v>
      </c>
      <c r="J178" s="14">
        <v>2.6198341846466064</v>
      </c>
      <c r="K178" s="15">
        <v>5000000</v>
      </c>
      <c r="L178" s="15">
        <v>10000000</v>
      </c>
      <c r="M178" s="16">
        <v>30</v>
      </c>
      <c r="N178" s="13">
        <v>4</v>
      </c>
      <c r="O178" s="13">
        <v>5</v>
      </c>
      <c r="P178" s="15"/>
      <c r="Q178" s="15">
        <v>3000000</v>
      </c>
      <c r="R178" s="15">
        <v>2000000</v>
      </c>
      <c r="S178" s="16">
        <v>0</v>
      </c>
      <c r="T178" s="3" t="s">
        <v>60</v>
      </c>
      <c r="U178" s="3" t="s">
        <v>53</v>
      </c>
      <c r="V178" s="3" t="s">
        <v>53</v>
      </c>
      <c r="W178" s="16">
        <v>20</v>
      </c>
      <c r="X178" s="16">
        <v>0</v>
      </c>
      <c r="Y178" s="16">
        <v>10</v>
      </c>
      <c r="Z178" s="3" t="s">
        <v>53</v>
      </c>
      <c r="AA178" s="15"/>
      <c r="AB178" s="3" t="s">
        <v>52</v>
      </c>
      <c r="AC178" s="3" t="s">
        <v>52</v>
      </c>
      <c r="AD178" s="3" t="s">
        <v>52</v>
      </c>
      <c r="AE178" s="16">
        <v>5</v>
      </c>
      <c r="AF178" s="3" t="s">
        <v>67</v>
      </c>
      <c r="AG178" s="3" t="s">
        <v>55</v>
      </c>
      <c r="AH178" s="3" t="s">
        <v>62</v>
      </c>
      <c r="AI178" s="3" t="s">
        <v>55</v>
      </c>
      <c r="AJ178" s="3" t="s">
        <v>56</v>
      </c>
      <c r="AK178" s="3" t="s">
        <v>75</v>
      </c>
      <c r="AL178" s="13">
        <f t="shared" si="26"/>
        <v>14</v>
      </c>
      <c r="AM178" s="15">
        <f t="shared" si="27"/>
        <v>0</v>
      </c>
      <c r="AN178" s="3">
        <f t="shared" si="28"/>
        <v>5</v>
      </c>
      <c r="AO178" s="3" t="str">
        <f t="shared" si="29"/>
        <v>No</v>
      </c>
      <c r="AP178" s="17">
        <f t="shared" si="30"/>
        <v>-0.5</v>
      </c>
      <c r="AQ178" s="17">
        <f t="shared" si="31"/>
        <v>-0.29289321881345243</v>
      </c>
      <c r="AR178" s="17">
        <f t="shared" si="32"/>
        <v>-0.19999999999999996</v>
      </c>
      <c r="AS178" s="15">
        <f t="shared" si="33"/>
        <v>1250000</v>
      </c>
      <c r="AT178" s="17" t="str">
        <f t="shared" si="34"/>
        <v/>
      </c>
      <c r="AU178" s="17">
        <f t="shared" si="35"/>
        <v>0.6</v>
      </c>
      <c r="AV178" s="15">
        <f t="shared" si="36"/>
        <v>500000</v>
      </c>
      <c r="AW178" s="18">
        <f t="shared" si="37"/>
        <v>0</v>
      </c>
      <c r="AX178" s="27" t="str">
        <f>IF(OR(K178&lt;Outlier_Audit!$H$2,K178&gt;Outlier_Audit!$I$2),"Review","Normal")</f>
        <v>Normal</v>
      </c>
      <c r="AY178" t="str">
        <f t="shared" si="38"/>
        <v>10-19 years</v>
      </c>
      <c r="AZ178" t="str">
        <f>IF(AQ178="","Missing",IF(AQ178&gt;=EDA_Performance!$B$7,"High Growth",IF(AQ178&lt;=EDA_Performance!$B$5,"Low Growth","Middle")))</f>
        <v>Low Growth</v>
      </c>
    </row>
    <row r="179" spans="1:52">
      <c r="A179" s="12">
        <v>1614611</v>
      </c>
      <c r="B179" s="3" t="s">
        <v>74</v>
      </c>
      <c r="C179" s="3" t="s">
        <v>66</v>
      </c>
      <c r="D179" s="13">
        <v>45</v>
      </c>
      <c r="E179" s="13">
        <v>2220</v>
      </c>
      <c r="F179" s="13">
        <v>22</v>
      </c>
      <c r="G179" s="3" t="s">
        <v>96</v>
      </c>
      <c r="H179" s="13">
        <v>2017</v>
      </c>
      <c r="I179" s="13"/>
      <c r="J179" s="14">
        <v>2.6198341846466064</v>
      </c>
      <c r="K179" s="15">
        <v>120000000</v>
      </c>
      <c r="L179" s="15"/>
      <c r="M179" s="16">
        <v>35</v>
      </c>
      <c r="N179" s="13">
        <v>12</v>
      </c>
      <c r="O179" s="13">
        <v>6</v>
      </c>
      <c r="P179" s="15">
        <v>50000000</v>
      </c>
      <c r="Q179" s="15">
        <v>10000000</v>
      </c>
      <c r="R179" s="15">
        <v>100000000</v>
      </c>
      <c r="S179" s="16">
        <v>0</v>
      </c>
      <c r="T179" s="3" t="s">
        <v>52</v>
      </c>
      <c r="U179" s="3" t="s">
        <v>52</v>
      </c>
      <c r="V179" s="3" t="s">
        <v>53</v>
      </c>
      <c r="W179" s="16">
        <v>20</v>
      </c>
      <c r="X179" s="16">
        <v>0</v>
      </c>
      <c r="Y179" s="16">
        <v>50</v>
      </c>
      <c r="Z179" s="3" t="s">
        <v>53</v>
      </c>
      <c r="AA179" s="15"/>
      <c r="AB179" s="3" t="s">
        <v>53</v>
      </c>
      <c r="AC179" s="3" t="s">
        <v>53</v>
      </c>
      <c r="AD179" s="3" t="s">
        <v>52</v>
      </c>
      <c r="AE179" s="16">
        <v>3</v>
      </c>
      <c r="AF179" s="3" t="s">
        <v>55</v>
      </c>
      <c r="AG179" s="3" t="s">
        <v>55</v>
      </c>
      <c r="AH179" s="3" t="s">
        <v>67</v>
      </c>
      <c r="AI179" s="3"/>
      <c r="AJ179" s="3" t="s">
        <v>63</v>
      </c>
      <c r="AK179" s="3" t="s">
        <v>75</v>
      </c>
      <c r="AL179" s="13">
        <f t="shared" si="26"/>
        <v>7</v>
      </c>
      <c r="AM179" s="15">
        <f t="shared" si="27"/>
        <v>0</v>
      </c>
      <c r="AN179" s="3">
        <f t="shared" si="28"/>
        <v>3</v>
      </c>
      <c r="AO179" s="3" t="str">
        <f t="shared" si="29"/>
        <v>No</v>
      </c>
      <c r="AP179" s="17" t="str">
        <f t="shared" si="30"/>
        <v/>
      </c>
      <c r="AQ179" s="17" t="str">
        <f t="shared" si="31"/>
        <v/>
      </c>
      <c r="AR179" s="17">
        <f t="shared" si="32"/>
        <v>1</v>
      </c>
      <c r="AS179" s="15">
        <f t="shared" si="33"/>
        <v>10000000</v>
      </c>
      <c r="AT179" s="17">
        <f t="shared" si="34"/>
        <v>0.41666666666666669</v>
      </c>
      <c r="AU179" s="17">
        <f t="shared" si="35"/>
        <v>8.3333333333333329E-2</v>
      </c>
      <c r="AV179" s="15">
        <f t="shared" si="36"/>
        <v>8333333.333333333</v>
      </c>
      <c r="AW179" s="18">
        <f t="shared" si="37"/>
        <v>0</v>
      </c>
      <c r="AX179" s="27" t="str">
        <f>IF(OR(K179&lt;Outlier_Audit!$H$2,K179&gt;Outlier_Audit!$I$2),"Review","Normal")</f>
        <v>Normal</v>
      </c>
      <c r="AY179" t="str">
        <f t="shared" si="38"/>
        <v>&lt;10 years</v>
      </c>
      <c r="AZ179" t="str">
        <f>IF(AQ179="","Missing",IF(AQ179&gt;=EDA_Performance!$B$7,"High Growth",IF(AQ179&lt;=EDA_Performance!$B$5,"Low Growth","Middle")))</f>
        <v>Missing</v>
      </c>
    </row>
    <row r="180" spans="1:52">
      <c r="A180" s="12">
        <v>1614612</v>
      </c>
      <c r="B180" s="3" t="s">
        <v>65</v>
      </c>
      <c r="C180" s="3" t="s">
        <v>50</v>
      </c>
      <c r="D180" s="13">
        <v>3000</v>
      </c>
      <c r="E180" s="13">
        <v>3290</v>
      </c>
      <c r="F180" s="13">
        <v>32</v>
      </c>
      <c r="G180" s="3" t="s">
        <v>93</v>
      </c>
      <c r="H180" s="13">
        <v>2003</v>
      </c>
      <c r="I180" s="13">
        <v>22</v>
      </c>
      <c r="J180" s="14">
        <v>1.5749640464782715</v>
      </c>
      <c r="K180" s="15"/>
      <c r="L180" s="15"/>
      <c r="M180" s="16"/>
      <c r="N180" s="13">
        <v>2000</v>
      </c>
      <c r="O180" s="13">
        <v>1200</v>
      </c>
      <c r="P180" s="15"/>
      <c r="Q180" s="15"/>
      <c r="R180" s="15"/>
      <c r="S180" s="16">
        <v>15</v>
      </c>
      <c r="T180" s="3" t="s">
        <v>52</v>
      </c>
      <c r="U180" s="3" t="s">
        <v>52</v>
      </c>
      <c r="V180" s="3" t="s">
        <v>52</v>
      </c>
      <c r="W180" s="16">
        <v>100</v>
      </c>
      <c r="X180" s="16">
        <v>0</v>
      </c>
      <c r="Y180" s="16">
        <v>0</v>
      </c>
      <c r="Z180" s="3" t="s">
        <v>52</v>
      </c>
      <c r="AA180" s="15"/>
      <c r="AB180" s="3" t="s">
        <v>53</v>
      </c>
      <c r="AC180" s="3" t="s">
        <v>53</v>
      </c>
      <c r="AD180" s="3" t="s">
        <v>52</v>
      </c>
      <c r="AE180" s="16">
        <v>2</v>
      </c>
      <c r="AF180" s="3" t="s">
        <v>54</v>
      </c>
      <c r="AG180" s="3" t="s">
        <v>62</v>
      </c>
      <c r="AH180" s="3" t="s">
        <v>67</v>
      </c>
      <c r="AI180" s="3" t="s">
        <v>55</v>
      </c>
      <c r="AJ180" s="3" t="s">
        <v>56</v>
      </c>
      <c r="AK180" s="3" t="s">
        <v>75</v>
      </c>
      <c r="AL180" s="13">
        <f t="shared" si="26"/>
        <v>21</v>
      </c>
      <c r="AM180" s="15">
        <f t="shared" si="27"/>
        <v>0</v>
      </c>
      <c r="AN180" s="3">
        <f t="shared" si="28"/>
        <v>2</v>
      </c>
      <c r="AO180" s="3" t="str">
        <f t="shared" si="29"/>
        <v>Yes</v>
      </c>
      <c r="AP180" s="17" t="str">
        <f t="shared" si="30"/>
        <v/>
      </c>
      <c r="AQ180" s="17" t="str">
        <f t="shared" si="31"/>
        <v/>
      </c>
      <c r="AR180" s="17">
        <f t="shared" si="32"/>
        <v>0.66666666666666674</v>
      </c>
      <c r="AS180" s="15" t="str">
        <f t="shared" si="33"/>
        <v/>
      </c>
      <c r="AT180" s="17" t="str">
        <f t="shared" si="34"/>
        <v/>
      </c>
      <c r="AU180" s="17" t="str">
        <f t="shared" si="35"/>
        <v/>
      </c>
      <c r="AV180" s="15" t="str">
        <f t="shared" si="36"/>
        <v/>
      </c>
      <c r="AW180" s="18" t="str">
        <f t="shared" si="37"/>
        <v/>
      </c>
      <c r="AX180" s="27" t="str">
        <f>IF(OR(K180&lt;Outlier_Audit!$H$2,K180&gt;Outlier_Audit!$I$2),"Review","Normal")</f>
        <v>Normal</v>
      </c>
      <c r="AY180" t="str">
        <f t="shared" si="38"/>
        <v>20-29 years</v>
      </c>
      <c r="AZ180" t="str">
        <f>IF(AQ180="","Missing",IF(AQ180&gt;=EDA_Performance!$B$7,"High Growth",IF(AQ180&lt;=EDA_Performance!$B$5,"Low Growth","Middle")))</f>
        <v>Missing</v>
      </c>
    </row>
    <row r="181" spans="1:52">
      <c r="A181" s="12">
        <v>1614615</v>
      </c>
      <c r="B181" s="3" t="s">
        <v>49</v>
      </c>
      <c r="C181" s="3" t="s">
        <v>50</v>
      </c>
      <c r="D181" s="13">
        <v>400</v>
      </c>
      <c r="E181" s="13">
        <v>1621</v>
      </c>
      <c r="F181" s="13">
        <v>16</v>
      </c>
      <c r="G181" s="3" t="s">
        <v>88</v>
      </c>
      <c r="H181" s="13">
        <v>1993</v>
      </c>
      <c r="I181" s="13">
        <v>15</v>
      </c>
      <c r="J181" s="14">
        <v>1</v>
      </c>
      <c r="K181" s="15">
        <v>1800000000</v>
      </c>
      <c r="L181" s="15">
        <v>1250000000</v>
      </c>
      <c r="M181" s="16">
        <v>35</v>
      </c>
      <c r="N181" s="13">
        <v>350</v>
      </c>
      <c r="O181" s="13">
        <v>350</v>
      </c>
      <c r="P181" s="15">
        <v>200000000</v>
      </c>
      <c r="Q181" s="15">
        <v>68500000</v>
      </c>
      <c r="R181" s="15">
        <v>500000000</v>
      </c>
      <c r="S181" s="16">
        <v>0</v>
      </c>
      <c r="T181" s="3" t="s">
        <v>53</v>
      </c>
      <c r="U181" s="3" t="s">
        <v>52</v>
      </c>
      <c r="V181" s="3" t="s">
        <v>53</v>
      </c>
      <c r="W181" s="16">
        <v>60</v>
      </c>
      <c r="X181" s="16">
        <v>0</v>
      </c>
      <c r="Y181" s="16">
        <v>0</v>
      </c>
      <c r="Z181" s="3" t="s">
        <v>53</v>
      </c>
      <c r="AA181" s="15"/>
      <c r="AB181" s="3" t="s">
        <v>53</v>
      </c>
      <c r="AC181" s="3" t="s">
        <v>53</v>
      </c>
      <c r="AD181" s="3" t="s">
        <v>52</v>
      </c>
      <c r="AE181" s="16">
        <v>6</v>
      </c>
      <c r="AF181" s="3" t="s">
        <v>55</v>
      </c>
      <c r="AG181" s="3" t="s">
        <v>55</v>
      </c>
      <c r="AH181" s="3" t="s">
        <v>62</v>
      </c>
      <c r="AI181" s="3" t="s">
        <v>67</v>
      </c>
      <c r="AJ181" s="3" t="s">
        <v>70</v>
      </c>
      <c r="AK181" s="3" t="s">
        <v>57</v>
      </c>
      <c r="AL181" s="13">
        <f t="shared" si="26"/>
        <v>31</v>
      </c>
      <c r="AM181" s="15">
        <f t="shared" si="27"/>
        <v>0</v>
      </c>
      <c r="AN181" s="3">
        <f t="shared" si="28"/>
        <v>6</v>
      </c>
      <c r="AO181" s="3" t="str">
        <f t="shared" si="29"/>
        <v>No</v>
      </c>
      <c r="AP181" s="17">
        <f t="shared" si="30"/>
        <v>0.43999999999999995</v>
      </c>
      <c r="AQ181" s="17">
        <f t="shared" si="31"/>
        <v>0.19999999999999996</v>
      </c>
      <c r="AR181" s="17">
        <f t="shared" si="32"/>
        <v>0</v>
      </c>
      <c r="AS181" s="15">
        <f t="shared" si="33"/>
        <v>5142857.1428571427</v>
      </c>
      <c r="AT181" s="17">
        <f t="shared" si="34"/>
        <v>0.1111111111111111</v>
      </c>
      <c r="AU181" s="17">
        <f t="shared" si="35"/>
        <v>3.8055555555555558E-2</v>
      </c>
      <c r="AV181" s="15">
        <f t="shared" si="36"/>
        <v>1428571.4285714286</v>
      </c>
      <c r="AW181" s="18">
        <f t="shared" si="37"/>
        <v>0</v>
      </c>
      <c r="AX181" s="27" t="str">
        <f>IF(OR(K181&lt;Outlier_Audit!$H$2,K181&gt;Outlier_Audit!$I$2),"Review","Normal")</f>
        <v>Normal</v>
      </c>
      <c r="AY181" t="str">
        <f t="shared" si="38"/>
        <v>30+ years</v>
      </c>
      <c r="AZ181" t="str">
        <f>IF(AQ181="","Missing",IF(AQ181&gt;=EDA_Performance!$B$7,"High Growth",IF(AQ181&lt;=EDA_Performance!$B$5,"Low Growth","Middle")))</f>
        <v>Middle</v>
      </c>
    </row>
    <row r="182" spans="1:52">
      <c r="A182" s="12">
        <v>1614616</v>
      </c>
      <c r="B182" s="3" t="s">
        <v>80</v>
      </c>
      <c r="C182" s="3" t="s">
        <v>66</v>
      </c>
      <c r="D182" s="13">
        <v>5</v>
      </c>
      <c r="E182" s="13">
        <v>1811</v>
      </c>
      <c r="F182" s="13">
        <v>18</v>
      </c>
      <c r="G182" s="3" t="s">
        <v>72</v>
      </c>
      <c r="H182" s="13">
        <v>1996</v>
      </c>
      <c r="I182" s="13">
        <v>10</v>
      </c>
      <c r="J182" s="14">
        <v>6.9057846069335938</v>
      </c>
      <c r="K182" s="15">
        <v>45000000</v>
      </c>
      <c r="L182" s="15">
        <v>40000000</v>
      </c>
      <c r="M182" s="16">
        <v>100</v>
      </c>
      <c r="N182" s="13">
        <v>5</v>
      </c>
      <c r="O182" s="13">
        <v>3</v>
      </c>
      <c r="P182" s="15">
        <v>7000000</v>
      </c>
      <c r="Q182" s="15">
        <v>3000000</v>
      </c>
      <c r="R182" s="15">
        <v>150000000</v>
      </c>
      <c r="S182" s="16">
        <v>0</v>
      </c>
      <c r="T182" s="3" t="s">
        <v>60</v>
      </c>
      <c r="U182" s="3" t="s">
        <v>53</v>
      </c>
      <c r="V182" s="3" t="s">
        <v>53</v>
      </c>
      <c r="W182" s="16">
        <v>60</v>
      </c>
      <c r="X182" s="16">
        <v>40</v>
      </c>
      <c r="Y182" s="16">
        <v>0</v>
      </c>
      <c r="Z182" s="3" t="s">
        <v>52</v>
      </c>
      <c r="AA182" s="15">
        <v>8000000</v>
      </c>
      <c r="AB182" s="3" t="s">
        <v>52</v>
      </c>
      <c r="AC182" s="3" t="s">
        <v>52</v>
      </c>
      <c r="AD182" s="3" t="s">
        <v>52</v>
      </c>
      <c r="AE182" s="16">
        <v>12</v>
      </c>
      <c r="AF182" s="3" t="s">
        <v>55</v>
      </c>
      <c r="AG182" s="3" t="s">
        <v>67</v>
      </c>
      <c r="AH182" s="3" t="s">
        <v>67</v>
      </c>
      <c r="AI182" s="3" t="s">
        <v>67</v>
      </c>
      <c r="AJ182" s="3" t="s">
        <v>56</v>
      </c>
      <c r="AK182" s="3" t="s">
        <v>57</v>
      </c>
      <c r="AL182" s="13">
        <f t="shared" si="26"/>
        <v>28</v>
      </c>
      <c r="AM182" s="15">
        <f t="shared" si="27"/>
        <v>8000000</v>
      </c>
      <c r="AN182" s="3">
        <f t="shared" si="28"/>
        <v>12</v>
      </c>
      <c r="AO182" s="3" t="str">
        <f t="shared" si="29"/>
        <v>No</v>
      </c>
      <c r="AP182" s="17">
        <f t="shared" si="30"/>
        <v>0.125</v>
      </c>
      <c r="AQ182" s="17">
        <f t="shared" si="31"/>
        <v>6.0660171779821193E-2</v>
      </c>
      <c r="AR182" s="17">
        <f t="shared" si="32"/>
        <v>0.66666666666666674</v>
      </c>
      <c r="AS182" s="15">
        <f t="shared" si="33"/>
        <v>9000000</v>
      </c>
      <c r="AT182" s="17">
        <f t="shared" si="34"/>
        <v>0.15555555555555556</v>
      </c>
      <c r="AU182" s="17">
        <f t="shared" si="35"/>
        <v>6.6666666666666666E-2</v>
      </c>
      <c r="AV182" s="15">
        <f t="shared" si="36"/>
        <v>30000000</v>
      </c>
      <c r="AW182" s="18">
        <f t="shared" si="37"/>
        <v>0.17777777777777778</v>
      </c>
      <c r="AX182" s="27" t="str">
        <f>IF(OR(K182&lt;Outlier_Audit!$H$2,K182&gt;Outlier_Audit!$I$2),"Review","Normal")</f>
        <v>Normal</v>
      </c>
      <c r="AY182" t="str">
        <f t="shared" si="38"/>
        <v>20-29 years</v>
      </c>
      <c r="AZ182" t="str">
        <f>IF(AQ182="","Missing",IF(AQ182&gt;=EDA_Performance!$B$7,"High Growth",IF(AQ182&lt;=EDA_Performance!$B$5,"Low Growth","Middle")))</f>
        <v>Middle</v>
      </c>
    </row>
    <row r="183" spans="1:52">
      <c r="A183" s="12">
        <v>1614620</v>
      </c>
      <c r="B183" s="3" t="s">
        <v>65</v>
      </c>
      <c r="C183" s="3" t="s">
        <v>50</v>
      </c>
      <c r="D183" s="13">
        <v>325</v>
      </c>
      <c r="E183" s="13">
        <v>1702</v>
      </c>
      <c r="F183" s="13">
        <v>17</v>
      </c>
      <c r="G183" s="3" t="s">
        <v>102</v>
      </c>
      <c r="H183" s="13">
        <v>2004</v>
      </c>
      <c r="I183" s="13">
        <v>21</v>
      </c>
      <c r="J183" s="14">
        <v>1.5749640464782715</v>
      </c>
      <c r="K183" s="15">
        <v>85000000000</v>
      </c>
      <c r="L183" s="15">
        <v>80000000000</v>
      </c>
      <c r="M183" s="16">
        <v>70</v>
      </c>
      <c r="N183" s="13">
        <v>180</v>
      </c>
      <c r="O183" s="13">
        <v>160</v>
      </c>
      <c r="P183" s="15">
        <v>2000000000</v>
      </c>
      <c r="Q183" s="15">
        <v>57600000000</v>
      </c>
      <c r="R183" s="15">
        <v>7200000000</v>
      </c>
      <c r="S183" s="16">
        <v>10</v>
      </c>
      <c r="T183" s="3" t="s">
        <v>52</v>
      </c>
      <c r="U183" s="3" t="s">
        <v>52</v>
      </c>
      <c r="V183" s="3" t="s">
        <v>52</v>
      </c>
      <c r="W183" s="16">
        <v>20</v>
      </c>
      <c r="X183" s="16">
        <v>80</v>
      </c>
      <c r="Y183" s="16">
        <v>0</v>
      </c>
      <c r="Z183" s="3" t="s">
        <v>52</v>
      </c>
      <c r="AA183" s="15">
        <v>1800000000</v>
      </c>
      <c r="AB183" s="3" t="s">
        <v>52</v>
      </c>
      <c r="AC183" s="3" t="s">
        <v>52</v>
      </c>
      <c r="AD183" s="3" t="s">
        <v>52</v>
      </c>
      <c r="AE183" s="16">
        <v>8</v>
      </c>
      <c r="AF183" s="3" t="s">
        <v>55</v>
      </c>
      <c r="AG183" s="3" t="s">
        <v>54</v>
      </c>
      <c r="AH183" s="3" t="s">
        <v>62</v>
      </c>
      <c r="AI183" s="3" t="s">
        <v>54</v>
      </c>
      <c r="AJ183" s="3" t="s">
        <v>56</v>
      </c>
      <c r="AK183" s="3" t="s">
        <v>75</v>
      </c>
      <c r="AL183" s="13">
        <f t="shared" si="26"/>
        <v>20</v>
      </c>
      <c r="AM183" s="15">
        <f t="shared" si="27"/>
        <v>1800000000</v>
      </c>
      <c r="AN183" s="3">
        <f t="shared" si="28"/>
        <v>8</v>
      </c>
      <c r="AO183" s="3" t="str">
        <f t="shared" si="29"/>
        <v>Yes</v>
      </c>
      <c r="AP183" s="17">
        <f t="shared" si="30"/>
        <v>6.25E-2</v>
      </c>
      <c r="AQ183" s="17">
        <f t="shared" si="31"/>
        <v>3.0776406404415146E-2</v>
      </c>
      <c r="AR183" s="17">
        <f t="shared" si="32"/>
        <v>0.125</v>
      </c>
      <c r="AS183" s="15">
        <f t="shared" si="33"/>
        <v>472222222.22222221</v>
      </c>
      <c r="AT183" s="17">
        <f t="shared" si="34"/>
        <v>2.3529411764705882E-2</v>
      </c>
      <c r="AU183" s="17">
        <f t="shared" si="35"/>
        <v>0.67764705882352938</v>
      </c>
      <c r="AV183" s="15">
        <f t="shared" si="36"/>
        <v>40000000</v>
      </c>
      <c r="AW183" s="18">
        <f t="shared" si="37"/>
        <v>2.1176470588235293E-2</v>
      </c>
      <c r="AX183" s="27" t="str">
        <f>IF(OR(K183&lt;Outlier_Audit!$H$2,K183&gt;Outlier_Audit!$I$2),"Review","Normal")</f>
        <v>Review</v>
      </c>
      <c r="AY183" t="str">
        <f t="shared" si="38"/>
        <v>20-29 years</v>
      </c>
      <c r="AZ183" t="str">
        <f>IF(AQ183="","Missing",IF(AQ183&gt;=EDA_Performance!$B$7,"High Growth",IF(AQ183&lt;=EDA_Performance!$B$5,"Low Growth","Middle")))</f>
        <v>Low Growth</v>
      </c>
    </row>
    <row r="184" spans="1:52">
      <c r="A184" s="12">
        <v>1614621</v>
      </c>
      <c r="B184" s="3" t="s">
        <v>49</v>
      </c>
      <c r="C184" s="3" t="s">
        <v>66</v>
      </c>
      <c r="D184" s="13">
        <v>15</v>
      </c>
      <c r="E184" s="13">
        <v>2394</v>
      </c>
      <c r="F184" s="13">
        <v>23</v>
      </c>
      <c r="G184" s="3" t="s">
        <v>83</v>
      </c>
      <c r="H184" s="13">
        <v>2005</v>
      </c>
      <c r="I184" s="13">
        <v>20</v>
      </c>
      <c r="J184" s="14">
        <v>1.6637996435165405</v>
      </c>
      <c r="K184" s="15">
        <v>500000000</v>
      </c>
      <c r="L184" s="15">
        <v>400000000</v>
      </c>
      <c r="M184" s="16">
        <v>90</v>
      </c>
      <c r="N184" s="13">
        <v>11</v>
      </c>
      <c r="O184" s="13">
        <v>11</v>
      </c>
      <c r="P184" s="15">
        <v>54000000</v>
      </c>
      <c r="Q184" s="15">
        <v>70000000</v>
      </c>
      <c r="R184" s="15">
        <v>100000000</v>
      </c>
      <c r="S184" s="16">
        <v>0</v>
      </c>
      <c r="T184" s="3" t="s">
        <v>60</v>
      </c>
      <c r="U184" s="3" t="s">
        <v>53</v>
      </c>
      <c r="V184" s="3" t="s">
        <v>53</v>
      </c>
      <c r="W184" s="16">
        <v>70</v>
      </c>
      <c r="X184" s="16">
        <v>0</v>
      </c>
      <c r="Y184" s="16">
        <v>30</v>
      </c>
      <c r="Z184" s="3" t="s">
        <v>53</v>
      </c>
      <c r="AA184" s="15"/>
      <c r="AB184" s="3" t="s">
        <v>53</v>
      </c>
      <c r="AC184" s="3" t="s">
        <v>53</v>
      </c>
      <c r="AD184" s="3" t="s">
        <v>52</v>
      </c>
      <c r="AE184" s="16">
        <v>3</v>
      </c>
      <c r="AF184" s="3" t="s">
        <v>54</v>
      </c>
      <c r="AG184" s="3" t="s">
        <v>55</v>
      </c>
      <c r="AH184" s="3" t="s">
        <v>62</v>
      </c>
      <c r="AI184" s="3" t="s">
        <v>67</v>
      </c>
      <c r="AJ184" s="3" t="s">
        <v>70</v>
      </c>
      <c r="AK184" s="3" t="s">
        <v>64</v>
      </c>
      <c r="AL184" s="13">
        <f t="shared" si="26"/>
        <v>19</v>
      </c>
      <c r="AM184" s="15">
        <f t="shared" si="27"/>
        <v>0</v>
      </c>
      <c r="AN184" s="3">
        <f t="shared" si="28"/>
        <v>3</v>
      </c>
      <c r="AO184" s="3" t="str">
        <f t="shared" si="29"/>
        <v>No</v>
      </c>
      <c r="AP184" s="17">
        <f t="shared" si="30"/>
        <v>0.25</v>
      </c>
      <c r="AQ184" s="17">
        <f t="shared" si="31"/>
        <v>0.1180339887498949</v>
      </c>
      <c r="AR184" s="17">
        <f t="shared" si="32"/>
        <v>0</v>
      </c>
      <c r="AS184" s="15">
        <f t="shared" si="33"/>
        <v>45454545.454545453</v>
      </c>
      <c r="AT184" s="17">
        <f t="shared" si="34"/>
        <v>0.108</v>
      </c>
      <c r="AU184" s="17">
        <f t="shared" si="35"/>
        <v>0.14000000000000001</v>
      </c>
      <c r="AV184" s="15">
        <f t="shared" si="36"/>
        <v>9090909.0909090918</v>
      </c>
      <c r="AW184" s="18">
        <f t="shared" si="37"/>
        <v>0</v>
      </c>
      <c r="AX184" s="27" t="str">
        <f>IF(OR(K184&lt;Outlier_Audit!$H$2,K184&gt;Outlier_Audit!$I$2),"Review","Normal")</f>
        <v>Normal</v>
      </c>
      <c r="AY184" t="str">
        <f t="shared" si="38"/>
        <v>10-19 years</v>
      </c>
      <c r="AZ184" t="str">
        <f>IF(AQ184="","Missing",IF(AQ184&gt;=EDA_Performance!$B$7,"High Growth",IF(AQ184&lt;=EDA_Performance!$B$5,"Low Growth","Middle")))</f>
        <v>Middle</v>
      </c>
    </row>
    <row r="185" spans="1:52">
      <c r="A185" s="12">
        <v>1614624</v>
      </c>
      <c r="B185" s="3" t="s">
        <v>49</v>
      </c>
      <c r="C185" s="3" t="s">
        <v>66</v>
      </c>
      <c r="D185" s="13">
        <v>5</v>
      </c>
      <c r="E185" s="13">
        <v>2511</v>
      </c>
      <c r="F185" s="13">
        <v>25</v>
      </c>
      <c r="G185" s="3" t="s">
        <v>76</v>
      </c>
      <c r="H185" s="13">
        <v>2009</v>
      </c>
      <c r="I185" s="13">
        <v>15</v>
      </c>
      <c r="J185" s="14">
        <v>1.6637996435165405</v>
      </c>
      <c r="K185" s="15">
        <v>77000000</v>
      </c>
      <c r="L185" s="15">
        <v>16000000</v>
      </c>
      <c r="M185" s="16">
        <v>70</v>
      </c>
      <c r="N185" s="13">
        <v>5</v>
      </c>
      <c r="O185" s="13">
        <v>5</v>
      </c>
      <c r="P185" s="15">
        <v>5000000</v>
      </c>
      <c r="Q185" s="15">
        <v>60000000</v>
      </c>
      <c r="R185" s="15">
        <v>100000000</v>
      </c>
      <c r="S185" s="16">
        <v>0</v>
      </c>
      <c r="T185" s="3" t="s">
        <v>60</v>
      </c>
      <c r="U185" s="3" t="s">
        <v>53</v>
      </c>
      <c r="V185" s="3" t="s">
        <v>53</v>
      </c>
      <c r="W185" s="16">
        <v>100</v>
      </c>
      <c r="X185" s="16">
        <v>0</v>
      </c>
      <c r="Y185" s="16">
        <v>0</v>
      </c>
      <c r="Z185" s="3" t="s">
        <v>52</v>
      </c>
      <c r="AA185" s="15">
        <v>2500000</v>
      </c>
      <c r="AB185" s="3" t="s">
        <v>53</v>
      </c>
      <c r="AC185" s="3" t="s">
        <v>53</v>
      </c>
      <c r="AD185" s="3" t="s">
        <v>52</v>
      </c>
      <c r="AE185" s="16">
        <v>7</v>
      </c>
      <c r="AF185" s="3" t="s">
        <v>67</v>
      </c>
      <c r="AG185" s="3" t="s">
        <v>62</v>
      </c>
      <c r="AH185" s="3" t="s">
        <v>62</v>
      </c>
      <c r="AI185" s="3" t="s">
        <v>61</v>
      </c>
      <c r="AJ185" s="3" t="s">
        <v>86</v>
      </c>
      <c r="AK185" s="3" t="s">
        <v>64</v>
      </c>
      <c r="AL185" s="13">
        <f t="shared" si="26"/>
        <v>15</v>
      </c>
      <c r="AM185" s="15">
        <f t="shared" si="27"/>
        <v>2500000</v>
      </c>
      <c r="AN185" s="3">
        <f t="shared" si="28"/>
        <v>7</v>
      </c>
      <c r="AO185" s="3" t="str">
        <f t="shared" si="29"/>
        <v>No</v>
      </c>
      <c r="AP185" s="17">
        <f t="shared" si="30"/>
        <v>3.8125</v>
      </c>
      <c r="AQ185" s="17">
        <f t="shared" si="31"/>
        <v>1.1937410968480306</v>
      </c>
      <c r="AR185" s="17">
        <f t="shared" si="32"/>
        <v>0</v>
      </c>
      <c r="AS185" s="15">
        <f t="shared" si="33"/>
        <v>15400000</v>
      </c>
      <c r="AT185" s="17">
        <f t="shared" si="34"/>
        <v>6.4935064935064929E-2</v>
      </c>
      <c r="AU185" s="17">
        <f t="shared" si="35"/>
        <v>0.77922077922077926</v>
      </c>
      <c r="AV185" s="15">
        <f t="shared" si="36"/>
        <v>20000000</v>
      </c>
      <c r="AW185" s="18">
        <f t="shared" si="37"/>
        <v>3.2467532467532464E-2</v>
      </c>
      <c r="AX185" s="27" t="str">
        <f>IF(OR(K185&lt;Outlier_Audit!$H$2,K185&gt;Outlier_Audit!$I$2),"Review","Normal")</f>
        <v>Normal</v>
      </c>
      <c r="AY185" t="str">
        <f t="shared" si="38"/>
        <v>10-19 years</v>
      </c>
      <c r="AZ185" t="str">
        <f>IF(AQ185="","Missing",IF(AQ185&gt;=EDA_Performance!$B$7,"High Growth",IF(AQ185&lt;=EDA_Performance!$B$5,"Low Growth","Middle")))</f>
        <v>High Growth</v>
      </c>
    </row>
    <row r="186" spans="1:52">
      <c r="A186" s="12">
        <v>1614629</v>
      </c>
      <c r="B186" s="3" t="s">
        <v>74</v>
      </c>
      <c r="C186" s="3" t="s">
        <v>66</v>
      </c>
      <c r="D186" s="13">
        <v>5</v>
      </c>
      <c r="E186" s="13">
        <v>1410</v>
      </c>
      <c r="F186" s="13">
        <v>14</v>
      </c>
      <c r="G186" s="3" t="s">
        <v>59</v>
      </c>
      <c r="H186" s="13">
        <v>2014</v>
      </c>
      <c r="I186" s="13">
        <v>10</v>
      </c>
      <c r="J186" s="14">
        <v>2.6198341846466064</v>
      </c>
      <c r="K186" s="15">
        <v>5000000</v>
      </c>
      <c r="L186" s="15">
        <v>2800000</v>
      </c>
      <c r="M186" s="16">
        <v>2</v>
      </c>
      <c r="N186" s="13">
        <v>5</v>
      </c>
      <c r="O186" s="13">
        <v>5</v>
      </c>
      <c r="P186" s="15">
        <v>2400000</v>
      </c>
      <c r="Q186" s="15">
        <v>500000</v>
      </c>
      <c r="R186" s="15">
        <v>400000</v>
      </c>
      <c r="S186" s="16">
        <v>0</v>
      </c>
      <c r="T186" s="3" t="s">
        <v>60</v>
      </c>
      <c r="U186" s="3" t="s">
        <v>53</v>
      </c>
      <c r="V186" s="3" t="s">
        <v>53</v>
      </c>
      <c r="W186" s="16">
        <v>100</v>
      </c>
      <c r="X186" s="16">
        <v>0</v>
      </c>
      <c r="Y186" s="16">
        <v>0</v>
      </c>
      <c r="Z186" s="3" t="s">
        <v>53</v>
      </c>
      <c r="AA186" s="15"/>
      <c r="AB186" s="3" t="s">
        <v>53</v>
      </c>
      <c r="AC186" s="3" t="s">
        <v>53</v>
      </c>
      <c r="AD186" s="3" t="s">
        <v>53</v>
      </c>
      <c r="AE186" s="16"/>
      <c r="AF186" s="3" t="s">
        <v>62</v>
      </c>
      <c r="AG186" s="3" t="s">
        <v>61</v>
      </c>
      <c r="AH186" s="3" t="s">
        <v>62</v>
      </c>
      <c r="AI186" s="3" t="s">
        <v>55</v>
      </c>
      <c r="AJ186" s="3" t="s">
        <v>70</v>
      </c>
      <c r="AK186" s="3" t="s">
        <v>75</v>
      </c>
      <c r="AL186" s="13">
        <f t="shared" si="26"/>
        <v>10</v>
      </c>
      <c r="AM186" s="15">
        <f t="shared" si="27"/>
        <v>0</v>
      </c>
      <c r="AN186" s="3">
        <f t="shared" si="28"/>
        <v>0</v>
      </c>
      <c r="AO186" s="3" t="str">
        <f t="shared" si="29"/>
        <v>No</v>
      </c>
      <c r="AP186" s="17">
        <f t="shared" si="30"/>
        <v>0.78571428571428581</v>
      </c>
      <c r="AQ186" s="17">
        <f t="shared" si="31"/>
        <v>0.33630620956212187</v>
      </c>
      <c r="AR186" s="17">
        <f t="shared" si="32"/>
        <v>0</v>
      </c>
      <c r="AS186" s="15">
        <f t="shared" si="33"/>
        <v>1000000</v>
      </c>
      <c r="AT186" s="17">
        <f t="shared" si="34"/>
        <v>0.48</v>
      </c>
      <c r="AU186" s="17">
        <f t="shared" si="35"/>
        <v>0.1</v>
      </c>
      <c r="AV186" s="15">
        <f t="shared" si="36"/>
        <v>80000</v>
      </c>
      <c r="AW186" s="18">
        <f t="shared" si="37"/>
        <v>0</v>
      </c>
      <c r="AX186" s="27" t="str">
        <f>IF(OR(K186&lt;Outlier_Audit!$H$2,K186&gt;Outlier_Audit!$I$2),"Review","Normal")</f>
        <v>Normal</v>
      </c>
      <c r="AY186" t="str">
        <f t="shared" si="38"/>
        <v>10-19 years</v>
      </c>
      <c r="AZ186" t="str">
        <f>IF(AQ186="","Missing",IF(AQ186&gt;=EDA_Performance!$B$7,"High Growth",IF(AQ186&lt;=EDA_Performance!$B$5,"Low Growth","Middle")))</f>
        <v>High Growth</v>
      </c>
    </row>
    <row r="187" spans="1:52">
      <c r="A187" s="12">
        <v>1614631</v>
      </c>
      <c r="B187" s="3" t="s">
        <v>65</v>
      </c>
      <c r="C187" s="3" t="s">
        <v>58</v>
      </c>
      <c r="D187" s="13">
        <v>8</v>
      </c>
      <c r="E187" s="13">
        <v>2511</v>
      </c>
      <c r="F187" s="13">
        <v>25</v>
      </c>
      <c r="G187" s="3" t="s">
        <v>76</v>
      </c>
      <c r="H187" s="13">
        <v>2018</v>
      </c>
      <c r="I187" s="13">
        <v>6</v>
      </c>
      <c r="J187" s="14">
        <v>259.94696044921875</v>
      </c>
      <c r="K187" s="15">
        <v>15000000</v>
      </c>
      <c r="L187" s="15">
        <v>12000000</v>
      </c>
      <c r="M187" s="16">
        <v>80</v>
      </c>
      <c r="N187" s="13">
        <v>8</v>
      </c>
      <c r="O187" s="13">
        <v>5</v>
      </c>
      <c r="P187" s="15">
        <v>1440000</v>
      </c>
      <c r="Q187" s="15">
        <v>7500000</v>
      </c>
      <c r="R187" s="15"/>
      <c r="S187" s="16">
        <v>0</v>
      </c>
      <c r="T187" s="3" t="s">
        <v>60</v>
      </c>
      <c r="U187" s="3" t="s">
        <v>53</v>
      </c>
      <c r="V187" s="3" t="s">
        <v>53</v>
      </c>
      <c r="W187" s="16">
        <v>100</v>
      </c>
      <c r="X187" s="16">
        <v>0</v>
      </c>
      <c r="Y187" s="16">
        <v>0</v>
      </c>
      <c r="Z187" s="3" t="s">
        <v>53</v>
      </c>
      <c r="AA187" s="15"/>
      <c r="AB187" s="3" t="s">
        <v>53</v>
      </c>
      <c r="AC187" s="3" t="s">
        <v>53</v>
      </c>
      <c r="AD187" s="3" t="s">
        <v>52</v>
      </c>
      <c r="AE187" s="16">
        <v>1</v>
      </c>
      <c r="AF187" s="3" t="s">
        <v>61</v>
      </c>
      <c r="AG187" s="3" t="s">
        <v>62</v>
      </c>
      <c r="AH187" s="3" t="s">
        <v>67</v>
      </c>
      <c r="AI187" s="3" t="s">
        <v>62</v>
      </c>
      <c r="AJ187" s="3" t="s">
        <v>63</v>
      </c>
      <c r="AK187" s="3" t="s">
        <v>57</v>
      </c>
      <c r="AL187" s="13">
        <f t="shared" si="26"/>
        <v>6</v>
      </c>
      <c r="AM187" s="15">
        <f t="shared" si="27"/>
        <v>0</v>
      </c>
      <c r="AN187" s="3">
        <f t="shared" si="28"/>
        <v>1</v>
      </c>
      <c r="AO187" s="3" t="str">
        <f t="shared" si="29"/>
        <v>No</v>
      </c>
      <c r="AP187" s="17">
        <f t="shared" si="30"/>
        <v>0.25</v>
      </c>
      <c r="AQ187" s="17">
        <f t="shared" si="31"/>
        <v>0.1180339887498949</v>
      </c>
      <c r="AR187" s="17">
        <f t="shared" si="32"/>
        <v>0.60000000000000009</v>
      </c>
      <c r="AS187" s="15">
        <f t="shared" si="33"/>
        <v>1875000</v>
      </c>
      <c r="AT187" s="17">
        <f t="shared" si="34"/>
        <v>9.6000000000000002E-2</v>
      </c>
      <c r="AU187" s="17">
        <f t="shared" si="35"/>
        <v>0.5</v>
      </c>
      <c r="AV187" s="15" t="str">
        <f t="shared" si="36"/>
        <v/>
      </c>
      <c r="AW187" s="18">
        <f t="shared" si="37"/>
        <v>0</v>
      </c>
      <c r="AX187" s="27" t="str">
        <f>IF(OR(K187&lt;Outlier_Audit!$H$2,K187&gt;Outlier_Audit!$I$2),"Review","Normal")</f>
        <v>Normal</v>
      </c>
      <c r="AY187" t="str">
        <f t="shared" si="38"/>
        <v>&lt;10 years</v>
      </c>
      <c r="AZ187" t="str">
        <f>IF(AQ187="","Missing",IF(AQ187&gt;=EDA_Performance!$B$7,"High Growth",IF(AQ187&lt;=EDA_Performance!$B$5,"Low Growth","Middle")))</f>
        <v>Middle</v>
      </c>
    </row>
    <row r="188" spans="1:52">
      <c r="A188" s="12">
        <v>1614633</v>
      </c>
      <c r="B188" s="3" t="s">
        <v>65</v>
      </c>
      <c r="C188" s="3" t="s">
        <v>50</v>
      </c>
      <c r="D188" s="13">
        <v>400</v>
      </c>
      <c r="E188" s="13">
        <v>2410</v>
      </c>
      <c r="F188" s="13">
        <v>24</v>
      </c>
      <c r="G188" s="3" t="s">
        <v>73</v>
      </c>
      <c r="H188" s="13">
        <v>2013</v>
      </c>
      <c r="I188" s="13">
        <v>35</v>
      </c>
      <c r="J188" s="14">
        <v>1.5749640464782715</v>
      </c>
      <c r="K188" s="15">
        <v>10000000000</v>
      </c>
      <c r="L188" s="15">
        <v>12500000000</v>
      </c>
      <c r="M188" s="16">
        <v>60</v>
      </c>
      <c r="N188" s="13">
        <v>350</v>
      </c>
      <c r="O188" s="13">
        <v>326</v>
      </c>
      <c r="P188" s="15">
        <v>1400000000</v>
      </c>
      <c r="Q188" s="15">
        <v>2000000000</v>
      </c>
      <c r="R188" s="15">
        <v>800000000</v>
      </c>
      <c r="S188" s="16">
        <v>60</v>
      </c>
      <c r="T188" s="3" t="s">
        <v>52</v>
      </c>
      <c r="U188" s="3" t="s">
        <v>53</v>
      </c>
      <c r="V188" s="3" t="s">
        <v>53</v>
      </c>
      <c r="W188" s="16">
        <v>50</v>
      </c>
      <c r="X188" s="16">
        <v>40</v>
      </c>
      <c r="Y188" s="16">
        <v>0</v>
      </c>
      <c r="Z188" s="3" t="s">
        <v>53</v>
      </c>
      <c r="AA188" s="15"/>
      <c r="AB188" s="3" t="s">
        <v>52</v>
      </c>
      <c r="AC188" s="3" t="s">
        <v>53</v>
      </c>
      <c r="AD188" s="3" t="s">
        <v>52</v>
      </c>
      <c r="AE188" s="16">
        <v>6</v>
      </c>
      <c r="AF188" s="3" t="s">
        <v>54</v>
      </c>
      <c r="AG188" s="3" t="s">
        <v>61</v>
      </c>
      <c r="AH188" s="3" t="s">
        <v>67</v>
      </c>
      <c r="AI188" s="3" t="s">
        <v>67</v>
      </c>
      <c r="AJ188" s="3" t="s">
        <v>70</v>
      </c>
      <c r="AK188" s="3" t="s">
        <v>57</v>
      </c>
      <c r="AL188" s="13">
        <f t="shared" si="26"/>
        <v>11</v>
      </c>
      <c r="AM188" s="15">
        <f t="shared" si="27"/>
        <v>0</v>
      </c>
      <c r="AN188" s="3">
        <f t="shared" si="28"/>
        <v>6</v>
      </c>
      <c r="AO188" s="3" t="str">
        <f t="shared" si="29"/>
        <v>Yes</v>
      </c>
      <c r="AP188" s="17">
        <f t="shared" si="30"/>
        <v>-0.19999999999999996</v>
      </c>
      <c r="AQ188" s="17">
        <f t="shared" si="31"/>
        <v>-0.10557280900008414</v>
      </c>
      <c r="AR188" s="17">
        <f t="shared" si="32"/>
        <v>7.361963190184051E-2</v>
      </c>
      <c r="AS188" s="15">
        <f t="shared" si="33"/>
        <v>28571428.571428571</v>
      </c>
      <c r="AT188" s="17">
        <f t="shared" si="34"/>
        <v>0.14000000000000001</v>
      </c>
      <c r="AU188" s="17">
        <f t="shared" si="35"/>
        <v>0.2</v>
      </c>
      <c r="AV188" s="15">
        <f t="shared" si="36"/>
        <v>2285714.2857142859</v>
      </c>
      <c r="AW188" s="18">
        <f t="shared" si="37"/>
        <v>0</v>
      </c>
      <c r="AX188" s="27" t="str">
        <f>IF(OR(K188&lt;Outlier_Audit!$H$2,K188&gt;Outlier_Audit!$I$2),"Review","Normal")</f>
        <v>Review</v>
      </c>
      <c r="AY188" t="str">
        <f t="shared" si="38"/>
        <v>10-19 years</v>
      </c>
      <c r="AZ188" t="str">
        <f>IF(AQ188="","Missing",IF(AQ188&gt;=EDA_Performance!$B$7,"High Growth",IF(AQ188&lt;=EDA_Performance!$B$5,"Low Growth","Middle")))</f>
        <v>Low Growth</v>
      </c>
    </row>
    <row r="189" spans="1:52">
      <c r="A189" s="12">
        <v>1614636</v>
      </c>
      <c r="B189" s="3" t="s">
        <v>49</v>
      </c>
      <c r="C189" s="3" t="s">
        <v>50</v>
      </c>
      <c r="D189" s="13">
        <v>300</v>
      </c>
      <c r="E189" s="13">
        <v>2410</v>
      </c>
      <c r="F189" s="13">
        <v>24</v>
      </c>
      <c r="G189" s="3" t="s">
        <v>73</v>
      </c>
      <c r="H189" s="13">
        <v>2010</v>
      </c>
      <c r="I189" s="13">
        <v>12</v>
      </c>
      <c r="J189" s="14">
        <v>1</v>
      </c>
      <c r="K189" s="15">
        <v>40000000000</v>
      </c>
      <c r="L189" s="15">
        <v>37500000000</v>
      </c>
      <c r="M189" s="16">
        <v>65</v>
      </c>
      <c r="N189" s="13">
        <v>300</v>
      </c>
      <c r="O189" s="13">
        <v>250</v>
      </c>
      <c r="P189" s="15">
        <v>2000000000</v>
      </c>
      <c r="Q189" s="15">
        <v>10000000000</v>
      </c>
      <c r="R189" s="15">
        <v>12000000000</v>
      </c>
      <c r="S189" s="16">
        <v>0</v>
      </c>
      <c r="T189" s="3" t="s">
        <v>52</v>
      </c>
      <c r="U189" s="3" t="s">
        <v>52</v>
      </c>
      <c r="V189" s="3" t="s">
        <v>53</v>
      </c>
      <c r="W189" s="16">
        <v>50</v>
      </c>
      <c r="X189" s="16">
        <v>50</v>
      </c>
      <c r="Y189" s="16">
        <v>0</v>
      </c>
      <c r="Z189" s="3" t="s">
        <v>53</v>
      </c>
      <c r="AA189" s="15"/>
      <c r="AB189" s="3" t="s">
        <v>52</v>
      </c>
      <c r="AC189" s="3" t="s">
        <v>52</v>
      </c>
      <c r="AD189" s="3" t="s">
        <v>52</v>
      </c>
      <c r="AE189" s="16">
        <v>30</v>
      </c>
      <c r="AF189" s="3" t="s">
        <v>61</v>
      </c>
      <c r="AG189" s="3" t="s">
        <v>61</v>
      </c>
      <c r="AH189" s="3" t="s">
        <v>67</v>
      </c>
      <c r="AI189" s="3" t="s">
        <v>62</v>
      </c>
      <c r="AJ189" s="3" t="s">
        <v>68</v>
      </c>
      <c r="AK189" s="3" t="s">
        <v>75</v>
      </c>
      <c r="AL189" s="13">
        <f t="shared" si="26"/>
        <v>14</v>
      </c>
      <c r="AM189" s="15">
        <f t="shared" si="27"/>
        <v>0</v>
      </c>
      <c r="AN189" s="3">
        <f t="shared" si="28"/>
        <v>30</v>
      </c>
      <c r="AO189" s="3" t="str">
        <f t="shared" si="29"/>
        <v>No</v>
      </c>
      <c r="AP189" s="17">
        <f t="shared" si="30"/>
        <v>6.6666666666666652E-2</v>
      </c>
      <c r="AQ189" s="17">
        <f t="shared" si="31"/>
        <v>3.2795558988644391E-2</v>
      </c>
      <c r="AR189" s="17">
        <f t="shared" si="32"/>
        <v>0.19999999999999996</v>
      </c>
      <c r="AS189" s="15">
        <f t="shared" si="33"/>
        <v>133333333.33333333</v>
      </c>
      <c r="AT189" s="17">
        <f t="shared" si="34"/>
        <v>0.05</v>
      </c>
      <c r="AU189" s="17">
        <f t="shared" si="35"/>
        <v>0.25</v>
      </c>
      <c r="AV189" s="15">
        <f t="shared" si="36"/>
        <v>40000000</v>
      </c>
      <c r="AW189" s="18">
        <f t="shared" si="37"/>
        <v>0</v>
      </c>
      <c r="AX189" s="27" t="str">
        <f>IF(OR(K189&lt;Outlier_Audit!$H$2,K189&gt;Outlier_Audit!$I$2),"Review","Normal")</f>
        <v>Review</v>
      </c>
      <c r="AY189" t="str">
        <f t="shared" si="38"/>
        <v>10-19 years</v>
      </c>
      <c r="AZ189" t="str">
        <f>IF(AQ189="","Missing",IF(AQ189&gt;=EDA_Performance!$B$7,"High Growth",IF(AQ189&lt;=EDA_Performance!$B$5,"Low Growth","Middle")))</f>
        <v>Low Growth</v>
      </c>
    </row>
    <row r="190" spans="1:52">
      <c r="A190" s="12">
        <v>1614637</v>
      </c>
      <c r="B190" s="3" t="s">
        <v>74</v>
      </c>
      <c r="C190" s="3" t="s">
        <v>66</v>
      </c>
      <c r="D190" s="13">
        <v>250</v>
      </c>
      <c r="E190" s="13">
        <v>1071</v>
      </c>
      <c r="F190" s="13">
        <v>10</v>
      </c>
      <c r="G190" s="3" t="s">
        <v>51</v>
      </c>
      <c r="H190" s="13">
        <v>2017</v>
      </c>
      <c r="I190" s="13">
        <v>30</v>
      </c>
      <c r="J190" s="14">
        <v>1.6504706144332886</v>
      </c>
      <c r="K190" s="15">
        <v>3000000000</v>
      </c>
      <c r="L190" s="15">
        <v>2000000000</v>
      </c>
      <c r="M190" s="16">
        <v>85</v>
      </c>
      <c r="N190" s="13">
        <v>50</v>
      </c>
      <c r="O190" s="13">
        <v>25</v>
      </c>
      <c r="P190" s="15">
        <v>1000000000</v>
      </c>
      <c r="Q190" s="15">
        <v>500000000</v>
      </c>
      <c r="R190" s="15">
        <v>800000000</v>
      </c>
      <c r="S190" s="16">
        <v>0</v>
      </c>
      <c r="T190" s="3" t="s">
        <v>52</v>
      </c>
      <c r="U190" s="3" t="s">
        <v>52</v>
      </c>
      <c r="V190" s="3" t="s">
        <v>52</v>
      </c>
      <c r="W190" s="16">
        <v>50</v>
      </c>
      <c r="X190" s="16">
        <v>10</v>
      </c>
      <c r="Y190" s="16">
        <v>40</v>
      </c>
      <c r="Z190" s="3" t="s">
        <v>52</v>
      </c>
      <c r="AA190" s="15">
        <v>45000000</v>
      </c>
      <c r="AB190" s="3" t="s">
        <v>52</v>
      </c>
      <c r="AC190" s="3" t="s">
        <v>52</v>
      </c>
      <c r="AD190" s="3" t="s">
        <v>52</v>
      </c>
      <c r="AE190" s="16">
        <v>5</v>
      </c>
      <c r="AF190" s="3" t="s">
        <v>61</v>
      </c>
      <c r="AG190" s="3" t="s">
        <v>55</v>
      </c>
      <c r="AH190" s="3" t="s">
        <v>54</v>
      </c>
      <c r="AI190" s="3" t="s">
        <v>62</v>
      </c>
      <c r="AJ190" s="3" t="s">
        <v>63</v>
      </c>
      <c r="AK190" s="3" t="s">
        <v>75</v>
      </c>
      <c r="AL190" s="13">
        <f t="shared" si="26"/>
        <v>7</v>
      </c>
      <c r="AM190" s="15">
        <f t="shared" si="27"/>
        <v>45000000</v>
      </c>
      <c r="AN190" s="3">
        <f t="shared" si="28"/>
        <v>5</v>
      </c>
      <c r="AO190" s="3" t="str">
        <f t="shared" si="29"/>
        <v>No</v>
      </c>
      <c r="AP190" s="17">
        <f t="shared" si="30"/>
        <v>0.5</v>
      </c>
      <c r="AQ190" s="17">
        <f t="shared" si="31"/>
        <v>0.22474487139158894</v>
      </c>
      <c r="AR190" s="17">
        <f t="shared" si="32"/>
        <v>1</v>
      </c>
      <c r="AS190" s="15">
        <f t="shared" si="33"/>
        <v>60000000</v>
      </c>
      <c r="AT190" s="17">
        <f t="shared" si="34"/>
        <v>0.33333333333333331</v>
      </c>
      <c r="AU190" s="17">
        <f t="shared" si="35"/>
        <v>0.16666666666666666</v>
      </c>
      <c r="AV190" s="15">
        <f t="shared" si="36"/>
        <v>16000000</v>
      </c>
      <c r="AW190" s="18">
        <f t="shared" si="37"/>
        <v>1.4999999999999999E-2</v>
      </c>
      <c r="AX190" s="27" t="str">
        <f>IF(OR(K190&lt;Outlier_Audit!$H$2,K190&gt;Outlier_Audit!$I$2),"Review","Normal")</f>
        <v>Normal</v>
      </c>
      <c r="AY190" t="str">
        <f t="shared" si="38"/>
        <v>&lt;10 years</v>
      </c>
      <c r="AZ190" t="str">
        <f>IF(AQ190="","Missing",IF(AQ190&gt;=EDA_Performance!$B$7,"High Growth",IF(AQ190&lt;=EDA_Performance!$B$5,"Low Growth","Middle")))</f>
        <v>Middle</v>
      </c>
    </row>
    <row r="191" spans="1:52">
      <c r="A191" s="12">
        <v>1614639</v>
      </c>
      <c r="B191" s="3" t="s">
        <v>74</v>
      </c>
      <c r="C191" s="3" t="s">
        <v>66</v>
      </c>
      <c r="D191" s="13">
        <v>157</v>
      </c>
      <c r="E191" s="13">
        <v>1071</v>
      </c>
      <c r="F191" s="13">
        <v>10</v>
      </c>
      <c r="G191" s="3" t="s">
        <v>51</v>
      </c>
      <c r="H191" s="13">
        <v>2017</v>
      </c>
      <c r="I191" s="13">
        <v>47</v>
      </c>
      <c r="J191" s="14">
        <v>1.6504706144332886</v>
      </c>
      <c r="K191" s="15">
        <v>30000000000</v>
      </c>
      <c r="L191" s="15">
        <v>25000000000</v>
      </c>
      <c r="M191" s="16">
        <v>80</v>
      </c>
      <c r="N191" s="13">
        <v>116</v>
      </c>
      <c r="O191" s="13">
        <v>110</v>
      </c>
      <c r="P191" s="15">
        <v>113300000</v>
      </c>
      <c r="Q191" s="15">
        <v>1000000000</v>
      </c>
      <c r="R191" s="15">
        <v>2000000000</v>
      </c>
      <c r="S191" s="16">
        <v>0</v>
      </c>
      <c r="T191" s="3" t="s">
        <v>52</v>
      </c>
      <c r="U191" s="3" t="s">
        <v>52</v>
      </c>
      <c r="V191" s="3" t="s">
        <v>52</v>
      </c>
      <c r="W191" s="16">
        <v>100</v>
      </c>
      <c r="X191" s="16">
        <v>0</v>
      </c>
      <c r="Y191" s="16">
        <v>0</v>
      </c>
      <c r="Z191" s="3" t="s">
        <v>52</v>
      </c>
      <c r="AA191" s="15"/>
      <c r="AB191" s="3" t="s">
        <v>53</v>
      </c>
      <c r="AC191" s="3" t="s">
        <v>53</v>
      </c>
      <c r="AD191" s="3" t="s">
        <v>52</v>
      </c>
      <c r="AE191" s="16">
        <v>15</v>
      </c>
      <c r="AF191" s="3" t="s">
        <v>61</v>
      </c>
      <c r="AG191" s="3" t="s">
        <v>62</v>
      </c>
      <c r="AH191" s="3" t="s">
        <v>62</v>
      </c>
      <c r="AI191" s="3" t="s">
        <v>61</v>
      </c>
      <c r="AJ191" s="3" t="s">
        <v>63</v>
      </c>
      <c r="AK191" s="3" t="s">
        <v>64</v>
      </c>
      <c r="AL191" s="13">
        <f t="shared" si="26"/>
        <v>7</v>
      </c>
      <c r="AM191" s="15">
        <f t="shared" si="27"/>
        <v>0</v>
      </c>
      <c r="AN191" s="3">
        <f t="shared" si="28"/>
        <v>15</v>
      </c>
      <c r="AO191" s="3" t="str">
        <f t="shared" si="29"/>
        <v>No</v>
      </c>
      <c r="AP191" s="17">
        <f t="shared" si="30"/>
        <v>0.19999999999999996</v>
      </c>
      <c r="AQ191" s="17">
        <f t="shared" si="31"/>
        <v>9.5445115010332149E-2</v>
      </c>
      <c r="AR191" s="17">
        <f t="shared" si="32"/>
        <v>5.4545454545454453E-2</v>
      </c>
      <c r="AS191" s="15">
        <f t="shared" si="33"/>
        <v>258620689.65517241</v>
      </c>
      <c r="AT191" s="17">
        <f t="shared" si="34"/>
        <v>3.7766666666666665E-3</v>
      </c>
      <c r="AU191" s="17">
        <f t="shared" si="35"/>
        <v>3.3333333333333333E-2</v>
      </c>
      <c r="AV191" s="15">
        <f t="shared" si="36"/>
        <v>17241379.310344826</v>
      </c>
      <c r="AW191" s="18">
        <f t="shared" si="37"/>
        <v>0</v>
      </c>
      <c r="AX191" s="27" t="str">
        <f>IF(OR(K191&lt;Outlier_Audit!$H$2,K191&gt;Outlier_Audit!$I$2),"Review","Normal")</f>
        <v>Review</v>
      </c>
      <c r="AY191" t="str">
        <f t="shared" si="38"/>
        <v>&lt;10 years</v>
      </c>
      <c r="AZ191" t="str">
        <f>IF(AQ191="","Missing",IF(AQ191&gt;=EDA_Performance!$B$7,"High Growth",IF(AQ191&lt;=EDA_Performance!$B$5,"Low Growth","Middle")))</f>
        <v>Middle</v>
      </c>
    </row>
    <row r="192" spans="1:52">
      <c r="A192" s="12">
        <v>1614640</v>
      </c>
      <c r="B192" s="3" t="s">
        <v>65</v>
      </c>
      <c r="C192" s="3" t="s">
        <v>58</v>
      </c>
      <c r="D192" s="13">
        <v>15</v>
      </c>
      <c r="E192" s="13">
        <v>1080</v>
      </c>
      <c r="F192" s="13">
        <v>10</v>
      </c>
      <c r="G192" s="3" t="s">
        <v>51</v>
      </c>
      <c r="H192" s="13">
        <v>2013</v>
      </c>
      <c r="I192" s="13">
        <v>18</v>
      </c>
      <c r="J192" s="14">
        <v>30.085899353027344</v>
      </c>
      <c r="K192" s="15">
        <v>100000000</v>
      </c>
      <c r="L192" s="15">
        <v>55000000</v>
      </c>
      <c r="M192" s="16">
        <v>100</v>
      </c>
      <c r="N192" s="13">
        <v>15</v>
      </c>
      <c r="O192" s="13">
        <v>5</v>
      </c>
      <c r="P192" s="15">
        <v>40000000</v>
      </c>
      <c r="Q192" s="15">
        <v>45000000</v>
      </c>
      <c r="R192" s="15">
        <v>60000000</v>
      </c>
      <c r="S192" s="16">
        <v>0</v>
      </c>
      <c r="T192" s="3" t="s">
        <v>60</v>
      </c>
      <c r="U192" s="3" t="s">
        <v>53</v>
      </c>
      <c r="V192" s="3" t="s">
        <v>53</v>
      </c>
      <c r="W192" s="16">
        <v>40</v>
      </c>
      <c r="X192" s="16">
        <v>0</v>
      </c>
      <c r="Y192" s="16">
        <v>50</v>
      </c>
      <c r="Z192" s="3" t="s">
        <v>53</v>
      </c>
      <c r="AA192" s="15"/>
      <c r="AB192" s="3" t="s">
        <v>53</v>
      </c>
      <c r="AC192" s="3" t="s">
        <v>53</v>
      </c>
      <c r="AD192" s="3" t="s">
        <v>53</v>
      </c>
      <c r="AE192" s="16"/>
      <c r="AF192" s="3" t="s">
        <v>62</v>
      </c>
      <c r="AG192" s="3" t="s">
        <v>62</v>
      </c>
      <c r="AH192" s="3" t="s">
        <v>67</v>
      </c>
      <c r="AI192" s="3" t="s">
        <v>62</v>
      </c>
      <c r="AJ192" s="3" t="s">
        <v>56</v>
      </c>
      <c r="AK192" s="3" t="s">
        <v>57</v>
      </c>
      <c r="AL192" s="13">
        <f t="shared" si="26"/>
        <v>11</v>
      </c>
      <c r="AM192" s="15">
        <f t="shared" si="27"/>
        <v>0</v>
      </c>
      <c r="AN192" s="3">
        <f t="shared" si="28"/>
        <v>0</v>
      </c>
      <c r="AO192" s="3" t="str">
        <f t="shared" si="29"/>
        <v>No</v>
      </c>
      <c r="AP192" s="17">
        <f t="shared" si="30"/>
        <v>0.81818181818181812</v>
      </c>
      <c r="AQ192" s="17">
        <f t="shared" si="31"/>
        <v>0.34839972492648408</v>
      </c>
      <c r="AR192" s="17">
        <f t="shared" si="32"/>
        <v>2</v>
      </c>
      <c r="AS192" s="15">
        <f t="shared" si="33"/>
        <v>6666666.666666667</v>
      </c>
      <c r="AT192" s="17">
        <f t="shared" si="34"/>
        <v>0.4</v>
      </c>
      <c r="AU192" s="17">
        <f t="shared" si="35"/>
        <v>0.45</v>
      </c>
      <c r="AV192" s="15">
        <f t="shared" si="36"/>
        <v>4000000</v>
      </c>
      <c r="AW192" s="18">
        <f t="shared" si="37"/>
        <v>0</v>
      </c>
      <c r="AX192" s="27" t="str">
        <f>IF(OR(K192&lt;Outlier_Audit!$H$2,K192&gt;Outlier_Audit!$I$2),"Review","Normal")</f>
        <v>Normal</v>
      </c>
      <c r="AY192" t="str">
        <f t="shared" si="38"/>
        <v>10-19 years</v>
      </c>
      <c r="AZ192" t="str">
        <f>IF(AQ192="","Missing",IF(AQ192&gt;=EDA_Performance!$B$7,"High Growth",IF(AQ192&lt;=EDA_Performance!$B$5,"Low Growth","Middle")))</f>
        <v>High Growth</v>
      </c>
    </row>
    <row r="193" spans="1:52">
      <c r="A193" s="12">
        <v>1614645</v>
      </c>
      <c r="B193" s="3" t="s">
        <v>80</v>
      </c>
      <c r="C193" s="3" t="s">
        <v>58</v>
      </c>
      <c r="D193" s="13">
        <v>6</v>
      </c>
      <c r="E193" s="13">
        <v>3100</v>
      </c>
      <c r="F193" s="13">
        <v>31</v>
      </c>
      <c r="G193" s="3" t="s">
        <v>71</v>
      </c>
      <c r="H193" s="13">
        <v>2012</v>
      </c>
      <c r="I193" s="13">
        <v>15</v>
      </c>
      <c r="J193" s="14">
        <v>18.668731689453125</v>
      </c>
      <c r="K193" s="15">
        <v>45500000</v>
      </c>
      <c r="L193" s="15">
        <v>37800000</v>
      </c>
      <c r="M193" s="16">
        <v>60</v>
      </c>
      <c r="N193" s="13">
        <v>4</v>
      </c>
      <c r="O193" s="13">
        <v>4</v>
      </c>
      <c r="P193" s="15">
        <v>4100000</v>
      </c>
      <c r="Q193" s="15">
        <v>14600000</v>
      </c>
      <c r="R193" s="15">
        <v>84270000</v>
      </c>
      <c r="S193" s="16">
        <v>0</v>
      </c>
      <c r="T193" s="3" t="s">
        <v>60</v>
      </c>
      <c r="U193" s="3" t="s">
        <v>53</v>
      </c>
      <c r="V193" s="3" t="s">
        <v>53</v>
      </c>
      <c r="W193" s="16">
        <v>70</v>
      </c>
      <c r="X193" s="16">
        <v>0</v>
      </c>
      <c r="Y193" s="16">
        <v>10</v>
      </c>
      <c r="Z193" s="3" t="s">
        <v>53</v>
      </c>
      <c r="AA193" s="15"/>
      <c r="AB193" s="3" t="s">
        <v>53</v>
      </c>
      <c r="AC193" s="3" t="s">
        <v>53</v>
      </c>
      <c r="AD193" s="3" t="s">
        <v>52</v>
      </c>
      <c r="AE193" s="16">
        <v>5</v>
      </c>
      <c r="AF193" s="3" t="s">
        <v>62</v>
      </c>
      <c r="AG193" s="3" t="s">
        <v>62</v>
      </c>
      <c r="AH193" s="3" t="s">
        <v>62</v>
      </c>
      <c r="AI193" s="3" t="s">
        <v>62</v>
      </c>
      <c r="AJ193" s="3" t="s">
        <v>56</v>
      </c>
      <c r="AK193" s="3" t="s">
        <v>75</v>
      </c>
      <c r="AL193" s="13">
        <f t="shared" si="26"/>
        <v>12</v>
      </c>
      <c r="AM193" s="15">
        <f t="shared" si="27"/>
        <v>0</v>
      </c>
      <c r="AN193" s="3">
        <f t="shared" si="28"/>
        <v>5</v>
      </c>
      <c r="AO193" s="3" t="str">
        <f t="shared" si="29"/>
        <v>No</v>
      </c>
      <c r="AP193" s="17">
        <f t="shared" si="30"/>
        <v>0.20370370370370372</v>
      </c>
      <c r="AQ193" s="17">
        <f t="shared" si="31"/>
        <v>9.7134314340638905E-2</v>
      </c>
      <c r="AR193" s="17">
        <f t="shared" si="32"/>
        <v>0</v>
      </c>
      <c r="AS193" s="15">
        <f t="shared" si="33"/>
        <v>11375000</v>
      </c>
      <c r="AT193" s="17">
        <f t="shared" si="34"/>
        <v>9.0109890109890109E-2</v>
      </c>
      <c r="AU193" s="17">
        <f t="shared" si="35"/>
        <v>0.3208791208791209</v>
      </c>
      <c r="AV193" s="15">
        <f t="shared" si="36"/>
        <v>21067500</v>
      </c>
      <c r="AW193" s="18">
        <f t="shared" si="37"/>
        <v>0</v>
      </c>
      <c r="AX193" s="27" t="str">
        <f>IF(OR(K193&lt;Outlier_Audit!$H$2,K193&gt;Outlier_Audit!$I$2),"Review","Normal")</f>
        <v>Normal</v>
      </c>
      <c r="AY193" t="str">
        <f t="shared" si="38"/>
        <v>10-19 years</v>
      </c>
      <c r="AZ193" t="str">
        <f>IF(AQ193="","Missing",IF(AQ193&gt;=EDA_Performance!$B$7,"High Growth",IF(AQ193&lt;=EDA_Performance!$B$5,"Low Growth","Middle")))</f>
        <v>Middle</v>
      </c>
    </row>
    <row r="194" spans="1:52">
      <c r="A194" s="12">
        <v>1614647</v>
      </c>
      <c r="B194" s="3" t="s">
        <v>80</v>
      </c>
      <c r="C194" s="3" t="s">
        <v>66</v>
      </c>
      <c r="D194" s="13">
        <v>5</v>
      </c>
      <c r="E194" s="13">
        <v>1811</v>
      </c>
      <c r="F194" s="13">
        <v>18</v>
      </c>
      <c r="G194" s="3" t="s">
        <v>72</v>
      </c>
      <c r="H194" s="13">
        <v>2016</v>
      </c>
      <c r="I194" s="13">
        <v>1</v>
      </c>
      <c r="J194" s="14">
        <v>6.9057846069335938</v>
      </c>
      <c r="K194" s="15"/>
      <c r="L194" s="15"/>
      <c r="M194" s="16">
        <v>3</v>
      </c>
      <c r="N194" s="13">
        <v>3</v>
      </c>
      <c r="O194" s="13">
        <v>4</v>
      </c>
      <c r="P194" s="15"/>
      <c r="Q194" s="15"/>
      <c r="R194" s="15">
        <v>20000000</v>
      </c>
      <c r="S194" s="16">
        <v>0</v>
      </c>
      <c r="T194" s="3" t="s">
        <v>60</v>
      </c>
      <c r="U194" s="3" t="s">
        <v>53</v>
      </c>
      <c r="V194" s="3" t="s">
        <v>53</v>
      </c>
      <c r="W194" s="16">
        <v>100</v>
      </c>
      <c r="X194" s="16">
        <v>0</v>
      </c>
      <c r="Y194" s="16">
        <v>0</v>
      </c>
      <c r="Z194" s="3" t="s">
        <v>53</v>
      </c>
      <c r="AA194" s="15"/>
      <c r="AB194" s="3" t="s">
        <v>53</v>
      </c>
      <c r="AC194" s="3" t="s">
        <v>53</v>
      </c>
      <c r="AD194" s="3" t="s">
        <v>52</v>
      </c>
      <c r="AE194" s="16">
        <v>5</v>
      </c>
      <c r="AF194" s="3" t="s">
        <v>55</v>
      </c>
      <c r="AG194" s="3" t="s">
        <v>55</v>
      </c>
      <c r="AH194" s="3" t="s">
        <v>54</v>
      </c>
      <c r="AI194" s="3" t="s">
        <v>55</v>
      </c>
      <c r="AJ194" s="3" t="s">
        <v>63</v>
      </c>
      <c r="AK194" s="3" t="s">
        <v>75</v>
      </c>
      <c r="AL194" s="13">
        <f t="shared" ref="AL194:AL218" si="39">IF(H194="","",2024-H194)</f>
        <v>8</v>
      </c>
      <c r="AM194" s="15">
        <f t="shared" ref="AM194:AM218" si="40">IFERROR(IF(Z194="No",0,IF(Z194="Yes",AA194,"")),"")</f>
        <v>0</v>
      </c>
      <c r="AN194" s="3">
        <f t="shared" ref="AN194:AN218" si="41">IFERROR(IF(AD194="No",0,IF(AD194="Yes",AE194,"")),"")</f>
        <v>5</v>
      </c>
      <c r="AO194" s="3" t="str">
        <f t="shared" ref="AO194:AO218" si="42">IF(S194&gt;0,"Yes","No")</f>
        <v>No</v>
      </c>
      <c r="AP194" s="17" t="str">
        <f t="shared" ref="AP194:AP218" si="43">IF(OR(K194="",L194="",L194&lt;=0),"",K194/L194-1)</f>
        <v/>
      </c>
      <c r="AQ194" s="17" t="str">
        <f t="shared" ref="AQ194:AQ218" si="44">IF(OR(K194="",L194="",L194&lt;=0),"",(K194/L194)^(1/2)-1)</f>
        <v/>
      </c>
      <c r="AR194" s="17">
        <f t="shared" ref="AR194:AR218" si="45">IF(OR(N194="",O194="",O194&lt;=0),"",N194/O194-1)</f>
        <v>-0.25</v>
      </c>
      <c r="AS194" s="15" t="str">
        <f t="shared" ref="AS194:AS218" si="46">IF(OR(K194="",N194="",N194&lt;=0),"",K194/N194)</f>
        <v/>
      </c>
      <c r="AT194" s="17" t="str">
        <f t="shared" ref="AT194:AT218" si="47">IF(OR(P194="",K194="",K194&lt;=0),"",P194/K194)</f>
        <v/>
      </c>
      <c r="AU194" s="17" t="str">
        <f t="shared" ref="AU194:AU218" si="48">IF(OR(Q194="",K194="",K194&lt;=0),"",Q194/K194)</f>
        <v/>
      </c>
      <c r="AV194" s="15">
        <f t="shared" ref="AV194:AV218" si="49">IF(OR(R194="",N194="",N194&lt;=0),"",R194/N194)</f>
        <v>6666666.666666667</v>
      </c>
      <c r="AW194" s="18">
        <f t="shared" ref="AW194:AW218" si="50">IFERROR(IF(Z194="No",0,IF(Z194="Yes",AM194/K194,"")),"")</f>
        <v>0</v>
      </c>
      <c r="AX194" s="27" t="str">
        <f>IF(OR(K194&lt;Outlier_Audit!$H$2,K194&gt;Outlier_Audit!$I$2),"Review","Normal")</f>
        <v>Normal</v>
      </c>
      <c r="AY194" t="str">
        <f t="shared" ref="AY194:AY218" si="51">IF(AL194="","Unknown",IF(AL194&lt;10,"&lt;10 years",IF(AL194&lt;20,"10-19 years",IF(AL194&lt;30,"20-29 years","30+ years"))))</f>
        <v>&lt;10 years</v>
      </c>
      <c r="AZ194" t="str">
        <f>IF(AQ194="","Missing",IF(AQ194&gt;=EDA_Performance!$B$7,"High Growth",IF(AQ194&lt;=EDA_Performance!$B$5,"Low Growth","Middle")))</f>
        <v>Missing</v>
      </c>
    </row>
    <row r="195" spans="1:52">
      <c r="A195" s="12">
        <v>1614649</v>
      </c>
      <c r="B195" s="3" t="s">
        <v>65</v>
      </c>
      <c r="C195" s="3" t="s">
        <v>50</v>
      </c>
      <c r="D195" s="13">
        <v>8</v>
      </c>
      <c r="E195" s="13">
        <v>2599</v>
      </c>
      <c r="F195" s="13">
        <v>25</v>
      </c>
      <c r="G195" s="3" t="s">
        <v>76</v>
      </c>
      <c r="H195" s="13">
        <v>2003</v>
      </c>
      <c r="I195" s="13">
        <v>38</v>
      </c>
      <c r="J195" s="14">
        <v>1.5749640464782715</v>
      </c>
      <c r="K195" s="15">
        <v>6000000</v>
      </c>
      <c r="L195" s="15">
        <v>8000000</v>
      </c>
      <c r="M195" s="16">
        <v>45</v>
      </c>
      <c r="N195" s="13">
        <v>8</v>
      </c>
      <c r="O195" s="13">
        <v>8</v>
      </c>
      <c r="P195" s="15">
        <v>4800000</v>
      </c>
      <c r="Q195" s="15">
        <v>750000</v>
      </c>
      <c r="R195" s="15">
        <v>500000</v>
      </c>
      <c r="S195" s="16">
        <v>0</v>
      </c>
      <c r="T195" s="3" t="s">
        <v>60</v>
      </c>
      <c r="U195" s="3" t="s">
        <v>52</v>
      </c>
      <c r="V195" s="3" t="s">
        <v>52</v>
      </c>
      <c r="W195" s="16">
        <v>25</v>
      </c>
      <c r="X195" s="16">
        <v>20</v>
      </c>
      <c r="Y195" s="16">
        <v>15</v>
      </c>
      <c r="Z195" s="3" t="s">
        <v>53</v>
      </c>
      <c r="AA195" s="15"/>
      <c r="AB195" s="3" t="s">
        <v>53</v>
      </c>
      <c r="AC195" s="3" t="s">
        <v>53</v>
      </c>
      <c r="AD195" s="3" t="s">
        <v>53</v>
      </c>
      <c r="AE195" s="16"/>
      <c r="AF195" s="3" t="s">
        <v>54</v>
      </c>
      <c r="AG195" s="3" t="s">
        <v>61</v>
      </c>
      <c r="AH195" s="3" t="s">
        <v>61</v>
      </c>
      <c r="AI195" s="3" t="s">
        <v>61</v>
      </c>
      <c r="AJ195" s="3" t="s">
        <v>81</v>
      </c>
      <c r="AK195" s="3" t="s">
        <v>75</v>
      </c>
      <c r="AL195" s="13">
        <f t="shared" si="39"/>
        <v>21</v>
      </c>
      <c r="AM195" s="15">
        <f t="shared" si="40"/>
        <v>0</v>
      </c>
      <c r="AN195" s="3">
        <f t="shared" si="41"/>
        <v>0</v>
      </c>
      <c r="AO195" s="3" t="str">
        <f t="shared" si="42"/>
        <v>No</v>
      </c>
      <c r="AP195" s="17">
        <f t="shared" si="43"/>
        <v>-0.25</v>
      </c>
      <c r="AQ195" s="17">
        <f t="shared" si="44"/>
        <v>-0.1339745962155614</v>
      </c>
      <c r="AR195" s="17">
        <f t="shared" si="45"/>
        <v>0</v>
      </c>
      <c r="AS195" s="15">
        <f t="shared" si="46"/>
        <v>750000</v>
      </c>
      <c r="AT195" s="17">
        <f t="shared" si="47"/>
        <v>0.8</v>
      </c>
      <c r="AU195" s="17">
        <f t="shared" si="48"/>
        <v>0.125</v>
      </c>
      <c r="AV195" s="15">
        <f t="shared" si="49"/>
        <v>62500</v>
      </c>
      <c r="AW195" s="18">
        <f t="shared" si="50"/>
        <v>0</v>
      </c>
      <c r="AX195" s="27" t="str">
        <f>IF(OR(K195&lt;Outlier_Audit!$H$2,K195&gt;Outlier_Audit!$I$2),"Review","Normal")</f>
        <v>Normal</v>
      </c>
      <c r="AY195" t="str">
        <f t="shared" si="51"/>
        <v>20-29 years</v>
      </c>
      <c r="AZ195" t="str">
        <f>IF(AQ195="","Missing",IF(AQ195&gt;=EDA_Performance!$B$7,"High Growth",IF(AQ195&lt;=EDA_Performance!$B$5,"Low Growth","Middle")))</f>
        <v>Low Growth</v>
      </c>
    </row>
    <row r="196" spans="1:52">
      <c r="A196" s="12">
        <v>1614651</v>
      </c>
      <c r="B196" s="3" t="s">
        <v>80</v>
      </c>
      <c r="C196" s="3" t="s">
        <v>66</v>
      </c>
      <c r="D196" s="13">
        <v>6</v>
      </c>
      <c r="E196" s="13">
        <v>1071</v>
      </c>
      <c r="F196" s="13">
        <v>10</v>
      </c>
      <c r="G196" s="3" t="s">
        <v>51</v>
      </c>
      <c r="H196" s="13">
        <v>2022</v>
      </c>
      <c r="I196" s="13">
        <v>3</v>
      </c>
      <c r="J196" s="14">
        <v>1.8331878185272217</v>
      </c>
      <c r="K196" s="15">
        <v>25000000</v>
      </c>
      <c r="L196" s="15"/>
      <c r="M196" s="16">
        <v>2</v>
      </c>
      <c r="N196" s="13">
        <v>5</v>
      </c>
      <c r="O196" s="13">
        <v>5</v>
      </c>
      <c r="P196" s="15"/>
      <c r="Q196" s="15">
        <v>7000000</v>
      </c>
      <c r="R196" s="15">
        <v>12000000</v>
      </c>
      <c r="S196" s="16">
        <v>0</v>
      </c>
      <c r="T196" s="3" t="s">
        <v>60</v>
      </c>
      <c r="U196" s="3" t="s">
        <v>53</v>
      </c>
      <c r="V196" s="3" t="s">
        <v>52</v>
      </c>
      <c r="W196" s="16">
        <v>7</v>
      </c>
      <c r="X196" s="16">
        <v>0</v>
      </c>
      <c r="Y196" s="16">
        <v>90</v>
      </c>
      <c r="Z196" s="3" t="s">
        <v>52</v>
      </c>
      <c r="AA196" s="15">
        <v>8000000</v>
      </c>
      <c r="AB196" s="3" t="s">
        <v>52</v>
      </c>
      <c r="AC196" s="3" t="s">
        <v>52</v>
      </c>
      <c r="AD196" s="3" t="s">
        <v>52</v>
      </c>
      <c r="AE196" s="16">
        <v>5</v>
      </c>
      <c r="AF196" s="3" t="s">
        <v>54</v>
      </c>
      <c r="AG196" s="3" t="s">
        <v>61</v>
      </c>
      <c r="AH196" s="3" t="s">
        <v>62</v>
      </c>
      <c r="AI196" s="3" t="s">
        <v>54</v>
      </c>
      <c r="AJ196" s="3" t="s">
        <v>87</v>
      </c>
      <c r="AK196" s="3" t="s">
        <v>75</v>
      </c>
      <c r="AL196" s="13">
        <f t="shared" si="39"/>
        <v>2</v>
      </c>
      <c r="AM196" s="15">
        <f t="shared" si="40"/>
        <v>8000000</v>
      </c>
      <c r="AN196" s="3">
        <f t="shared" si="41"/>
        <v>5</v>
      </c>
      <c r="AO196" s="3" t="str">
        <f t="shared" si="42"/>
        <v>No</v>
      </c>
      <c r="AP196" s="17" t="str">
        <f t="shared" si="43"/>
        <v/>
      </c>
      <c r="AQ196" s="17" t="str">
        <f t="shared" si="44"/>
        <v/>
      </c>
      <c r="AR196" s="17">
        <f t="shared" si="45"/>
        <v>0</v>
      </c>
      <c r="AS196" s="15">
        <f t="shared" si="46"/>
        <v>5000000</v>
      </c>
      <c r="AT196" s="17" t="str">
        <f t="shared" si="47"/>
        <v/>
      </c>
      <c r="AU196" s="17">
        <f t="shared" si="48"/>
        <v>0.28000000000000003</v>
      </c>
      <c r="AV196" s="15">
        <f t="shared" si="49"/>
        <v>2400000</v>
      </c>
      <c r="AW196" s="18">
        <f t="shared" si="50"/>
        <v>0.32</v>
      </c>
      <c r="AX196" s="27" t="str">
        <f>IF(OR(K196&lt;Outlier_Audit!$H$2,K196&gt;Outlier_Audit!$I$2),"Review","Normal")</f>
        <v>Normal</v>
      </c>
      <c r="AY196" t="str">
        <f t="shared" si="51"/>
        <v>&lt;10 years</v>
      </c>
      <c r="AZ196" t="str">
        <f>IF(AQ196="","Missing",IF(AQ196&gt;=EDA_Performance!$B$7,"High Growth",IF(AQ196&lt;=EDA_Performance!$B$5,"Low Growth","Middle")))</f>
        <v>Missing</v>
      </c>
    </row>
    <row r="197" spans="1:52">
      <c r="A197" s="12">
        <v>1614654</v>
      </c>
      <c r="B197" s="3" t="s">
        <v>74</v>
      </c>
      <c r="C197" s="3" t="s">
        <v>66</v>
      </c>
      <c r="D197" s="13">
        <v>20</v>
      </c>
      <c r="E197" s="13">
        <v>1071</v>
      </c>
      <c r="F197" s="13">
        <v>10</v>
      </c>
      <c r="G197" s="3" t="s">
        <v>51</v>
      </c>
      <c r="H197" s="13">
        <v>2007</v>
      </c>
      <c r="I197" s="13">
        <v>33</v>
      </c>
      <c r="J197" s="14">
        <v>1.6504706144332886</v>
      </c>
      <c r="K197" s="15">
        <v>20000000</v>
      </c>
      <c r="L197" s="15">
        <v>30000000</v>
      </c>
      <c r="M197" s="16">
        <v>1</v>
      </c>
      <c r="N197" s="13">
        <v>25</v>
      </c>
      <c r="O197" s="13">
        <v>30</v>
      </c>
      <c r="P197" s="15">
        <v>12000000</v>
      </c>
      <c r="Q197" s="15"/>
      <c r="R197" s="15">
        <v>3000000</v>
      </c>
      <c r="S197" s="16">
        <v>0</v>
      </c>
      <c r="T197" s="3" t="s">
        <v>52</v>
      </c>
      <c r="U197" s="3" t="s">
        <v>52</v>
      </c>
      <c r="V197" s="3" t="s">
        <v>53</v>
      </c>
      <c r="W197" s="16">
        <v>27</v>
      </c>
      <c r="X197" s="16">
        <v>30</v>
      </c>
      <c r="Y197" s="16">
        <v>30</v>
      </c>
      <c r="Z197" s="3" t="s">
        <v>52</v>
      </c>
      <c r="AA197" s="15">
        <v>1800000</v>
      </c>
      <c r="AB197" s="3" t="s">
        <v>52</v>
      </c>
      <c r="AC197" s="3" t="s">
        <v>52</v>
      </c>
      <c r="AD197" s="3" t="s">
        <v>52</v>
      </c>
      <c r="AE197" s="16">
        <v>0</v>
      </c>
      <c r="AF197" s="3" t="s">
        <v>67</v>
      </c>
      <c r="AG197" s="3" t="s">
        <v>55</v>
      </c>
      <c r="AH197" s="3" t="s">
        <v>62</v>
      </c>
      <c r="AI197" s="3" t="s">
        <v>61</v>
      </c>
      <c r="AJ197" s="3" t="s">
        <v>79</v>
      </c>
      <c r="AK197" s="3" t="s">
        <v>75</v>
      </c>
      <c r="AL197" s="13">
        <f t="shared" si="39"/>
        <v>17</v>
      </c>
      <c r="AM197" s="15">
        <f t="shared" si="40"/>
        <v>1800000</v>
      </c>
      <c r="AN197" s="3">
        <f t="shared" si="41"/>
        <v>0</v>
      </c>
      <c r="AO197" s="3" t="str">
        <f t="shared" si="42"/>
        <v>No</v>
      </c>
      <c r="AP197" s="17">
        <f t="shared" si="43"/>
        <v>-0.33333333333333337</v>
      </c>
      <c r="AQ197" s="17">
        <f t="shared" si="44"/>
        <v>-0.18350341907227397</v>
      </c>
      <c r="AR197" s="17">
        <f t="shared" si="45"/>
        <v>-0.16666666666666663</v>
      </c>
      <c r="AS197" s="15">
        <f t="shared" si="46"/>
        <v>800000</v>
      </c>
      <c r="AT197" s="17">
        <f t="shared" si="47"/>
        <v>0.6</v>
      </c>
      <c r="AU197" s="17" t="str">
        <f t="shared" si="48"/>
        <v/>
      </c>
      <c r="AV197" s="15">
        <f t="shared" si="49"/>
        <v>120000</v>
      </c>
      <c r="AW197" s="18">
        <f t="shared" si="50"/>
        <v>0.09</v>
      </c>
      <c r="AX197" s="27" t="str">
        <f>IF(OR(K197&lt;Outlier_Audit!$H$2,K197&gt;Outlier_Audit!$I$2),"Review","Normal")</f>
        <v>Normal</v>
      </c>
      <c r="AY197" t="str">
        <f t="shared" si="51"/>
        <v>10-19 years</v>
      </c>
      <c r="AZ197" t="str">
        <f>IF(AQ197="","Missing",IF(AQ197&gt;=EDA_Performance!$B$7,"High Growth",IF(AQ197&lt;=EDA_Performance!$B$5,"Low Growth","Middle")))</f>
        <v>Low Growth</v>
      </c>
    </row>
    <row r="198" spans="1:52">
      <c r="A198" s="12">
        <v>1614655</v>
      </c>
      <c r="B198" s="3" t="s">
        <v>74</v>
      </c>
      <c r="C198" s="3" t="s">
        <v>58</v>
      </c>
      <c r="D198" s="13">
        <v>5</v>
      </c>
      <c r="E198" s="13">
        <v>2511</v>
      </c>
      <c r="F198" s="13">
        <v>25</v>
      </c>
      <c r="G198" s="3" t="s">
        <v>76</v>
      </c>
      <c r="H198" s="13">
        <v>2019</v>
      </c>
      <c r="I198" s="13">
        <v>15</v>
      </c>
      <c r="J198" s="14">
        <v>64.973602294921875</v>
      </c>
      <c r="K198" s="15">
        <v>7000000</v>
      </c>
      <c r="L198" s="15"/>
      <c r="M198" s="16">
        <v>30</v>
      </c>
      <c r="N198" s="13">
        <v>4</v>
      </c>
      <c r="O198" s="13">
        <v>3</v>
      </c>
      <c r="P198" s="15">
        <v>2000000</v>
      </c>
      <c r="Q198" s="15">
        <v>5000000</v>
      </c>
      <c r="R198" s="15">
        <v>550000</v>
      </c>
      <c r="S198" s="16">
        <v>0</v>
      </c>
      <c r="T198" s="3" t="s">
        <v>60</v>
      </c>
      <c r="U198" s="3" t="s">
        <v>53</v>
      </c>
      <c r="V198" s="3" t="s">
        <v>53</v>
      </c>
      <c r="W198" s="16">
        <v>100</v>
      </c>
      <c r="X198" s="16">
        <v>0</v>
      </c>
      <c r="Y198" s="16">
        <v>0</v>
      </c>
      <c r="Z198" s="3" t="s">
        <v>52</v>
      </c>
      <c r="AA198" s="15">
        <v>3000000</v>
      </c>
      <c r="AB198" s="3" t="s">
        <v>53</v>
      </c>
      <c r="AC198" s="3" t="s">
        <v>53</v>
      </c>
      <c r="AD198" s="3" t="s">
        <v>52</v>
      </c>
      <c r="AE198" s="16">
        <v>5</v>
      </c>
      <c r="AF198" s="3" t="s">
        <v>67</v>
      </c>
      <c r="AG198" s="3" t="s">
        <v>55</v>
      </c>
      <c r="AH198" s="3" t="s">
        <v>67</v>
      </c>
      <c r="AI198" s="3" t="s">
        <v>67</v>
      </c>
      <c r="AJ198" s="3" t="s">
        <v>56</v>
      </c>
      <c r="AK198" s="3" t="s">
        <v>75</v>
      </c>
      <c r="AL198" s="13">
        <f t="shared" si="39"/>
        <v>5</v>
      </c>
      <c r="AM198" s="15">
        <f t="shared" si="40"/>
        <v>3000000</v>
      </c>
      <c r="AN198" s="3">
        <f t="shared" si="41"/>
        <v>5</v>
      </c>
      <c r="AO198" s="3" t="str">
        <f t="shared" si="42"/>
        <v>No</v>
      </c>
      <c r="AP198" s="17" t="str">
        <f t="shared" si="43"/>
        <v/>
      </c>
      <c r="AQ198" s="17" t="str">
        <f t="shared" si="44"/>
        <v/>
      </c>
      <c r="AR198" s="17">
        <f t="shared" si="45"/>
        <v>0.33333333333333326</v>
      </c>
      <c r="AS198" s="15">
        <f t="shared" si="46"/>
        <v>1750000</v>
      </c>
      <c r="AT198" s="17">
        <f t="shared" si="47"/>
        <v>0.2857142857142857</v>
      </c>
      <c r="AU198" s="17">
        <f t="shared" si="48"/>
        <v>0.7142857142857143</v>
      </c>
      <c r="AV198" s="15">
        <f t="shared" si="49"/>
        <v>137500</v>
      </c>
      <c r="AW198" s="18">
        <f t="shared" si="50"/>
        <v>0.42857142857142855</v>
      </c>
      <c r="AX198" s="27" t="str">
        <f>IF(OR(K198&lt;Outlier_Audit!$H$2,K198&gt;Outlier_Audit!$I$2),"Review","Normal")</f>
        <v>Normal</v>
      </c>
      <c r="AY198" t="str">
        <f t="shared" si="51"/>
        <v>&lt;10 years</v>
      </c>
      <c r="AZ198" t="str">
        <f>IF(AQ198="","Missing",IF(AQ198&gt;=EDA_Performance!$B$7,"High Growth",IF(AQ198&lt;=EDA_Performance!$B$5,"Low Growth","Middle")))</f>
        <v>Missing</v>
      </c>
    </row>
    <row r="199" spans="1:52">
      <c r="A199" s="12">
        <v>1614656</v>
      </c>
      <c r="B199" s="3" t="s">
        <v>80</v>
      </c>
      <c r="C199" s="3" t="s">
        <v>66</v>
      </c>
      <c r="D199" s="13">
        <v>25</v>
      </c>
      <c r="E199" s="13">
        <v>1622</v>
      </c>
      <c r="F199" s="13">
        <v>16</v>
      </c>
      <c r="G199" s="3" t="s">
        <v>88</v>
      </c>
      <c r="H199" s="13">
        <v>1999</v>
      </c>
      <c r="I199" s="13">
        <v>30</v>
      </c>
      <c r="J199" s="14">
        <v>6.9057846069335938</v>
      </c>
      <c r="K199" s="15">
        <v>50000000</v>
      </c>
      <c r="L199" s="15">
        <v>45000000</v>
      </c>
      <c r="M199" s="16">
        <v>30</v>
      </c>
      <c r="N199" s="13">
        <v>10</v>
      </c>
      <c r="O199" s="13">
        <v>10</v>
      </c>
      <c r="P199" s="15">
        <v>20000000</v>
      </c>
      <c r="Q199" s="15">
        <v>7000000</v>
      </c>
      <c r="R199" s="15">
        <v>100000000</v>
      </c>
      <c r="S199" s="16">
        <v>0</v>
      </c>
      <c r="T199" s="3" t="s">
        <v>53</v>
      </c>
      <c r="U199" s="3" t="s">
        <v>53</v>
      </c>
      <c r="V199" s="3" t="s">
        <v>53</v>
      </c>
      <c r="W199" s="16">
        <v>90</v>
      </c>
      <c r="X199" s="16">
        <v>0</v>
      </c>
      <c r="Y199" s="16">
        <v>0</v>
      </c>
      <c r="Z199" s="3" t="s">
        <v>53</v>
      </c>
      <c r="AA199" s="15"/>
      <c r="AB199" s="3" t="s">
        <v>53</v>
      </c>
      <c r="AC199" s="3" t="s">
        <v>53</v>
      </c>
      <c r="AD199" s="3" t="s">
        <v>53</v>
      </c>
      <c r="AE199" s="16"/>
      <c r="AF199" s="3" t="s">
        <v>62</v>
      </c>
      <c r="AG199" s="3" t="s">
        <v>62</v>
      </c>
      <c r="AH199" s="3" t="s">
        <v>62</v>
      </c>
      <c r="AI199" s="3" t="s">
        <v>62</v>
      </c>
      <c r="AJ199" s="3" t="s">
        <v>56</v>
      </c>
      <c r="AK199" s="3" t="s">
        <v>57</v>
      </c>
      <c r="AL199" s="13">
        <f t="shared" si="39"/>
        <v>25</v>
      </c>
      <c r="AM199" s="15">
        <f t="shared" si="40"/>
        <v>0</v>
      </c>
      <c r="AN199" s="3">
        <f t="shared" si="41"/>
        <v>0</v>
      </c>
      <c r="AO199" s="3" t="str">
        <f t="shared" si="42"/>
        <v>No</v>
      </c>
      <c r="AP199" s="17">
        <f t="shared" si="43"/>
        <v>0.11111111111111116</v>
      </c>
      <c r="AQ199" s="17">
        <f t="shared" si="44"/>
        <v>5.4092553389459841E-2</v>
      </c>
      <c r="AR199" s="17">
        <f t="shared" si="45"/>
        <v>0</v>
      </c>
      <c r="AS199" s="15">
        <f t="shared" si="46"/>
        <v>5000000</v>
      </c>
      <c r="AT199" s="17">
        <f t="shared" si="47"/>
        <v>0.4</v>
      </c>
      <c r="AU199" s="17">
        <f t="shared" si="48"/>
        <v>0.14000000000000001</v>
      </c>
      <c r="AV199" s="15">
        <f t="shared" si="49"/>
        <v>10000000</v>
      </c>
      <c r="AW199" s="18">
        <f t="shared" si="50"/>
        <v>0</v>
      </c>
      <c r="AX199" s="27" t="str">
        <f>IF(OR(K199&lt;Outlier_Audit!$H$2,K199&gt;Outlier_Audit!$I$2),"Review","Normal")</f>
        <v>Normal</v>
      </c>
      <c r="AY199" t="str">
        <f t="shared" si="51"/>
        <v>20-29 years</v>
      </c>
      <c r="AZ199" t="str">
        <f>IF(AQ199="","Missing",IF(AQ199&gt;=EDA_Performance!$B$7,"High Growth",IF(AQ199&lt;=EDA_Performance!$B$5,"Low Growth","Middle")))</f>
        <v>Middle</v>
      </c>
    </row>
    <row r="200" spans="1:52">
      <c r="A200" s="12">
        <v>1614658</v>
      </c>
      <c r="B200" s="3" t="s">
        <v>80</v>
      </c>
      <c r="C200" s="3" t="s">
        <v>58</v>
      </c>
      <c r="D200" s="13">
        <v>28</v>
      </c>
      <c r="E200" s="13">
        <v>1061</v>
      </c>
      <c r="F200" s="13">
        <v>10</v>
      </c>
      <c r="G200" s="3" t="s">
        <v>51</v>
      </c>
      <c r="H200" s="13">
        <v>2017</v>
      </c>
      <c r="I200" s="13">
        <v>9</v>
      </c>
      <c r="J200" s="14">
        <v>1.6450884342193604</v>
      </c>
      <c r="K200" s="15">
        <v>4150000000</v>
      </c>
      <c r="L200" s="15">
        <v>4000000000</v>
      </c>
      <c r="M200" s="16">
        <v>45</v>
      </c>
      <c r="N200" s="13">
        <v>28</v>
      </c>
      <c r="O200" s="13">
        <v>25</v>
      </c>
      <c r="P200" s="15">
        <v>200000000</v>
      </c>
      <c r="Q200" s="15">
        <v>500000000</v>
      </c>
      <c r="R200" s="15">
        <v>6000000000</v>
      </c>
      <c r="S200" s="16">
        <v>0</v>
      </c>
      <c r="T200" s="3" t="s">
        <v>53</v>
      </c>
      <c r="U200" s="3" t="s">
        <v>53</v>
      </c>
      <c r="V200" s="3" t="s">
        <v>53</v>
      </c>
      <c r="W200" s="16">
        <v>80</v>
      </c>
      <c r="X200" s="16">
        <v>0</v>
      </c>
      <c r="Y200" s="16">
        <v>0</v>
      </c>
      <c r="Z200" s="3" t="s">
        <v>53</v>
      </c>
      <c r="AA200" s="15"/>
      <c r="AB200" s="3" t="s">
        <v>53</v>
      </c>
      <c r="AC200" s="3" t="s">
        <v>53</v>
      </c>
      <c r="AD200" s="3" t="s">
        <v>53</v>
      </c>
      <c r="AE200" s="16"/>
      <c r="AF200" s="3" t="s">
        <v>67</v>
      </c>
      <c r="AG200" s="3" t="s">
        <v>67</v>
      </c>
      <c r="AH200" s="3" t="s">
        <v>62</v>
      </c>
      <c r="AI200" s="3" t="s">
        <v>62</v>
      </c>
      <c r="AJ200" s="3" t="s">
        <v>56</v>
      </c>
      <c r="AK200" s="3" t="s">
        <v>75</v>
      </c>
      <c r="AL200" s="13">
        <f t="shared" si="39"/>
        <v>7</v>
      </c>
      <c r="AM200" s="15">
        <f t="shared" si="40"/>
        <v>0</v>
      </c>
      <c r="AN200" s="3">
        <f t="shared" si="41"/>
        <v>0</v>
      </c>
      <c r="AO200" s="3" t="str">
        <f t="shared" si="42"/>
        <v>No</v>
      </c>
      <c r="AP200" s="17">
        <f t="shared" si="43"/>
        <v>3.7500000000000089E-2</v>
      </c>
      <c r="AQ200" s="17">
        <f t="shared" si="44"/>
        <v>1.8577439373168136E-2</v>
      </c>
      <c r="AR200" s="17">
        <f t="shared" si="45"/>
        <v>0.12000000000000011</v>
      </c>
      <c r="AS200" s="15">
        <f t="shared" si="46"/>
        <v>148214285.7142857</v>
      </c>
      <c r="AT200" s="17">
        <f t="shared" si="47"/>
        <v>4.8192771084337352E-2</v>
      </c>
      <c r="AU200" s="17">
        <f t="shared" si="48"/>
        <v>0.12048192771084337</v>
      </c>
      <c r="AV200" s="15">
        <f t="shared" si="49"/>
        <v>214285714.2857143</v>
      </c>
      <c r="AW200" s="18">
        <f t="shared" si="50"/>
        <v>0</v>
      </c>
      <c r="AX200" s="27" t="str">
        <f>IF(OR(K200&lt;Outlier_Audit!$H$2,K200&gt;Outlier_Audit!$I$2),"Review","Normal")</f>
        <v>Normal</v>
      </c>
      <c r="AY200" t="str">
        <f t="shared" si="51"/>
        <v>&lt;10 years</v>
      </c>
      <c r="AZ200" t="str">
        <f>IF(AQ200="","Missing",IF(AQ200&gt;=EDA_Performance!$B$7,"High Growth",IF(AQ200&lt;=EDA_Performance!$B$5,"Low Growth","Middle")))</f>
        <v>Low Growth</v>
      </c>
    </row>
    <row r="201" spans="1:52">
      <c r="A201" s="12">
        <v>1614669</v>
      </c>
      <c r="B201" s="3" t="s">
        <v>80</v>
      </c>
      <c r="C201" s="3" t="s">
        <v>66</v>
      </c>
      <c r="D201" s="13">
        <v>15</v>
      </c>
      <c r="E201" s="13">
        <v>1811</v>
      </c>
      <c r="F201" s="13">
        <v>18</v>
      </c>
      <c r="G201" s="3" t="s">
        <v>72</v>
      </c>
      <c r="H201" s="13">
        <v>2012</v>
      </c>
      <c r="I201" s="13">
        <v>13</v>
      </c>
      <c r="J201" s="14">
        <v>6.9057846069335938</v>
      </c>
      <c r="K201" s="15">
        <v>35000000</v>
      </c>
      <c r="L201" s="15">
        <v>35000000</v>
      </c>
      <c r="M201" s="16">
        <v>85</v>
      </c>
      <c r="N201" s="13">
        <v>8</v>
      </c>
      <c r="O201" s="13">
        <v>8</v>
      </c>
      <c r="P201" s="15">
        <v>10000000</v>
      </c>
      <c r="Q201" s="15">
        <v>12000000</v>
      </c>
      <c r="R201" s="15">
        <v>50000000</v>
      </c>
      <c r="S201" s="16">
        <v>0</v>
      </c>
      <c r="T201" s="3" t="s">
        <v>60</v>
      </c>
      <c r="U201" s="3" t="s">
        <v>53</v>
      </c>
      <c r="V201" s="3" t="s">
        <v>53</v>
      </c>
      <c r="W201" s="16">
        <v>85</v>
      </c>
      <c r="X201" s="16">
        <v>0</v>
      </c>
      <c r="Y201" s="16">
        <v>0</v>
      </c>
      <c r="Z201" s="3" t="s">
        <v>53</v>
      </c>
      <c r="AA201" s="15"/>
      <c r="AB201" s="3" t="s">
        <v>53</v>
      </c>
      <c r="AC201" s="3" t="s">
        <v>53</v>
      </c>
      <c r="AD201" s="3" t="s">
        <v>53</v>
      </c>
      <c r="AE201" s="16"/>
      <c r="AF201" s="3" t="s">
        <v>54</v>
      </c>
      <c r="AG201" s="3" t="s">
        <v>62</v>
      </c>
      <c r="AH201" s="3" t="s">
        <v>62</v>
      </c>
      <c r="AI201" s="3" t="s">
        <v>62</v>
      </c>
      <c r="AJ201" s="3" t="s">
        <v>63</v>
      </c>
      <c r="AK201" s="3" t="s">
        <v>57</v>
      </c>
      <c r="AL201" s="13">
        <f t="shared" si="39"/>
        <v>12</v>
      </c>
      <c r="AM201" s="15">
        <f t="shared" si="40"/>
        <v>0</v>
      </c>
      <c r="AN201" s="3">
        <f t="shared" si="41"/>
        <v>0</v>
      </c>
      <c r="AO201" s="3" t="str">
        <f t="shared" si="42"/>
        <v>No</v>
      </c>
      <c r="AP201" s="17">
        <f t="shared" si="43"/>
        <v>0</v>
      </c>
      <c r="AQ201" s="17">
        <f t="shared" si="44"/>
        <v>0</v>
      </c>
      <c r="AR201" s="17">
        <f t="shared" si="45"/>
        <v>0</v>
      </c>
      <c r="AS201" s="15">
        <f t="shared" si="46"/>
        <v>4375000</v>
      </c>
      <c r="AT201" s="17">
        <f t="shared" si="47"/>
        <v>0.2857142857142857</v>
      </c>
      <c r="AU201" s="17">
        <f t="shared" si="48"/>
        <v>0.34285714285714286</v>
      </c>
      <c r="AV201" s="15">
        <f t="shared" si="49"/>
        <v>6250000</v>
      </c>
      <c r="AW201" s="18">
        <f t="shared" si="50"/>
        <v>0</v>
      </c>
      <c r="AX201" s="27" t="str">
        <f>IF(OR(K201&lt;Outlier_Audit!$H$2,K201&gt;Outlier_Audit!$I$2),"Review","Normal")</f>
        <v>Normal</v>
      </c>
      <c r="AY201" t="str">
        <f t="shared" si="51"/>
        <v>10-19 years</v>
      </c>
      <c r="AZ201" t="str">
        <f>IF(AQ201="","Missing",IF(AQ201&gt;=EDA_Performance!$B$7,"High Growth",IF(AQ201&lt;=EDA_Performance!$B$5,"Low Growth","Middle")))</f>
        <v>Low Growth</v>
      </c>
    </row>
    <row r="202" spans="1:52">
      <c r="A202" s="12">
        <v>1614672</v>
      </c>
      <c r="B202" s="3" t="s">
        <v>80</v>
      </c>
      <c r="C202" s="3" t="s">
        <v>58</v>
      </c>
      <c r="D202" s="13">
        <v>6</v>
      </c>
      <c r="E202" s="13">
        <v>1079</v>
      </c>
      <c r="F202" s="13">
        <v>10</v>
      </c>
      <c r="G202" s="3" t="s">
        <v>51</v>
      </c>
      <c r="H202" s="13">
        <v>2012</v>
      </c>
      <c r="I202" s="13">
        <v>14</v>
      </c>
      <c r="J202" s="14">
        <v>1.6450884342193604</v>
      </c>
      <c r="K202" s="15">
        <v>20730000</v>
      </c>
      <c r="L202" s="15">
        <v>16980000</v>
      </c>
      <c r="M202" s="16">
        <v>70</v>
      </c>
      <c r="N202" s="13">
        <v>3</v>
      </c>
      <c r="O202" s="13">
        <v>3</v>
      </c>
      <c r="P202" s="15">
        <v>3000000</v>
      </c>
      <c r="Q202" s="15">
        <v>12000000</v>
      </c>
      <c r="R202" s="15">
        <v>49500000</v>
      </c>
      <c r="S202" s="16">
        <v>0</v>
      </c>
      <c r="T202" s="3" t="s">
        <v>60</v>
      </c>
      <c r="U202" s="3" t="s">
        <v>53</v>
      </c>
      <c r="V202" s="3" t="s">
        <v>53</v>
      </c>
      <c r="W202" s="16">
        <v>80</v>
      </c>
      <c r="X202" s="16">
        <v>0</v>
      </c>
      <c r="Y202" s="16">
        <v>0</v>
      </c>
      <c r="Z202" s="3" t="s">
        <v>53</v>
      </c>
      <c r="AA202" s="15"/>
      <c r="AB202" s="3" t="s">
        <v>53</v>
      </c>
      <c r="AC202" s="3" t="s">
        <v>53</v>
      </c>
      <c r="AD202" s="3" t="s">
        <v>52</v>
      </c>
      <c r="AE202" s="16">
        <v>8</v>
      </c>
      <c r="AF202" s="3" t="s">
        <v>54</v>
      </c>
      <c r="AG202" s="3" t="s">
        <v>67</v>
      </c>
      <c r="AH202" s="3" t="s">
        <v>62</v>
      </c>
      <c r="AI202" s="3" t="s">
        <v>62</v>
      </c>
      <c r="AJ202" s="3" t="s">
        <v>56</v>
      </c>
      <c r="AK202" s="3" t="s">
        <v>75</v>
      </c>
      <c r="AL202" s="13">
        <f t="shared" si="39"/>
        <v>12</v>
      </c>
      <c r="AM202" s="15">
        <f t="shared" si="40"/>
        <v>0</v>
      </c>
      <c r="AN202" s="3">
        <f t="shared" si="41"/>
        <v>8</v>
      </c>
      <c r="AO202" s="3" t="str">
        <f t="shared" si="42"/>
        <v>No</v>
      </c>
      <c r="AP202" s="17">
        <f t="shared" si="43"/>
        <v>0.22084805653710249</v>
      </c>
      <c r="AQ202" s="17">
        <f t="shared" si="44"/>
        <v>0.10491993218382234</v>
      </c>
      <c r="AR202" s="17">
        <f t="shared" si="45"/>
        <v>0</v>
      </c>
      <c r="AS202" s="15">
        <f t="shared" si="46"/>
        <v>6910000</v>
      </c>
      <c r="AT202" s="17">
        <f t="shared" si="47"/>
        <v>0.14471780028943559</v>
      </c>
      <c r="AU202" s="17">
        <f t="shared" si="48"/>
        <v>0.57887120115774238</v>
      </c>
      <c r="AV202" s="15">
        <f t="shared" si="49"/>
        <v>16500000</v>
      </c>
      <c r="AW202" s="18">
        <f t="shared" si="50"/>
        <v>0</v>
      </c>
      <c r="AX202" s="27" t="str">
        <f>IF(OR(K202&lt;Outlier_Audit!$H$2,K202&gt;Outlier_Audit!$I$2),"Review","Normal")</f>
        <v>Normal</v>
      </c>
      <c r="AY202" t="str">
        <f t="shared" si="51"/>
        <v>10-19 years</v>
      </c>
      <c r="AZ202" t="str">
        <f>IF(AQ202="","Missing",IF(AQ202&gt;=EDA_Performance!$B$7,"High Growth",IF(AQ202&lt;=EDA_Performance!$B$5,"Low Growth","Middle")))</f>
        <v>Middle</v>
      </c>
    </row>
    <row r="203" spans="1:52">
      <c r="A203" s="12">
        <v>1614677</v>
      </c>
      <c r="B203" s="3" t="s">
        <v>65</v>
      </c>
      <c r="C203" s="3" t="s">
        <v>58</v>
      </c>
      <c r="D203" s="13">
        <v>10</v>
      </c>
      <c r="E203" s="13">
        <v>3100</v>
      </c>
      <c r="F203" s="13">
        <v>31</v>
      </c>
      <c r="G203" s="3" t="s">
        <v>71</v>
      </c>
      <c r="H203" s="13">
        <v>2010</v>
      </c>
      <c r="I203" s="13">
        <v>12</v>
      </c>
      <c r="J203" s="14">
        <v>147.28436279296875</v>
      </c>
      <c r="K203" s="15"/>
      <c r="L203" s="15">
        <v>500000000</v>
      </c>
      <c r="M203" s="16">
        <v>80</v>
      </c>
      <c r="N203" s="13">
        <v>10</v>
      </c>
      <c r="O203" s="13">
        <v>15</v>
      </c>
      <c r="P203" s="15">
        <v>11600000</v>
      </c>
      <c r="Q203" s="15">
        <v>60000000</v>
      </c>
      <c r="R203" s="15"/>
      <c r="S203" s="16">
        <v>0</v>
      </c>
      <c r="T203" s="3" t="s">
        <v>60</v>
      </c>
      <c r="U203" s="3" t="s">
        <v>52</v>
      </c>
      <c r="V203" s="3" t="s">
        <v>53</v>
      </c>
      <c r="W203" s="16">
        <v>100</v>
      </c>
      <c r="X203" s="16">
        <v>0</v>
      </c>
      <c r="Y203" s="16">
        <v>0</v>
      </c>
      <c r="Z203" s="3" t="s">
        <v>53</v>
      </c>
      <c r="AA203" s="15"/>
      <c r="AB203" s="3" t="s">
        <v>53</v>
      </c>
      <c r="AC203" s="3" t="s">
        <v>53</v>
      </c>
      <c r="AD203" s="3" t="s">
        <v>52</v>
      </c>
      <c r="AE203" s="16">
        <v>6</v>
      </c>
      <c r="AF203" s="3" t="s">
        <v>54</v>
      </c>
      <c r="AG203" s="3" t="s">
        <v>54</v>
      </c>
      <c r="AH203" s="3" t="s">
        <v>62</v>
      </c>
      <c r="AI203" s="3" t="s">
        <v>54</v>
      </c>
      <c r="AJ203" s="3" t="s">
        <v>70</v>
      </c>
      <c r="AK203" s="3" t="s">
        <v>75</v>
      </c>
      <c r="AL203" s="13">
        <f t="shared" si="39"/>
        <v>14</v>
      </c>
      <c r="AM203" s="15">
        <f t="shared" si="40"/>
        <v>0</v>
      </c>
      <c r="AN203" s="3">
        <f t="shared" si="41"/>
        <v>6</v>
      </c>
      <c r="AO203" s="3" t="str">
        <f t="shared" si="42"/>
        <v>No</v>
      </c>
      <c r="AP203" s="17" t="str">
        <f t="shared" si="43"/>
        <v/>
      </c>
      <c r="AQ203" s="17" t="str">
        <f t="shared" si="44"/>
        <v/>
      </c>
      <c r="AR203" s="17">
        <f t="shared" si="45"/>
        <v>-0.33333333333333337</v>
      </c>
      <c r="AS203" s="15" t="str">
        <f t="shared" si="46"/>
        <v/>
      </c>
      <c r="AT203" s="17" t="str">
        <f t="shared" si="47"/>
        <v/>
      </c>
      <c r="AU203" s="17" t="str">
        <f t="shared" si="48"/>
        <v/>
      </c>
      <c r="AV203" s="15" t="str">
        <f t="shared" si="49"/>
        <v/>
      </c>
      <c r="AW203" s="18">
        <f t="shared" si="50"/>
        <v>0</v>
      </c>
      <c r="AX203" s="27" t="str">
        <f>IF(OR(K203&lt;Outlier_Audit!$H$2,K203&gt;Outlier_Audit!$I$2),"Review","Normal")</f>
        <v>Normal</v>
      </c>
      <c r="AY203" t="str">
        <f t="shared" si="51"/>
        <v>10-19 years</v>
      </c>
      <c r="AZ203" t="str">
        <f>IF(AQ203="","Missing",IF(AQ203&gt;=EDA_Performance!$B$7,"High Growth",IF(AQ203&lt;=EDA_Performance!$B$5,"Low Growth","Middle")))</f>
        <v>Missing</v>
      </c>
    </row>
    <row r="204" spans="1:52">
      <c r="A204" s="12">
        <v>1614679</v>
      </c>
      <c r="B204" s="3" t="s">
        <v>74</v>
      </c>
      <c r="C204" s="3" t="s">
        <v>66</v>
      </c>
      <c r="D204" s="13">
        <v>75</v>
      </c>
      <c r="E204" s="13">
        <v>1101</v>
      </c>
      <c r="F204" s="13">
        <v>11</v>
      </c>
      <c r="G204" s="3" t="s">
        <v>89</v>
      </c>
      <c r="H204" s="13">
        <v>2018</v>
      </c>
      <c r="I204" s="13">
        <v>5</v>
      </c>
      <c r="J204" s="14">
        <v>2.6198341846466064</v>
      </c>
      <c r="K204" s="15">
        <v>600000000</v>
      </c>
      <c r="L204" s="15"/>
      <c r="M204" s="16">
        <v>70</v>
      </c>
      <c r="N204" s="13">
        <v>50</v>
      </c>
      <c r="O204" s="13">
        <v>40</v>
      </c>
      <c r="P204" s="15">
        <v>102000000</v>
      </c>
      <c r="Q204" s="15"/>
      <c r="R204" s="15">
        <v>2000000000</v>
      </c>
      <c r="S204" s="16">
        <v>0</v>
      </c>
      <c r="T204" s="3" t="s">
        <v>53</v>
      </c>
      <c r="U204" s="3" t="s">
        <v>52</v>
      </c>
      <c r="V204" s="3" t="s">
        <v>53</v>
      </c>
      <c r="W204" s="16">
        <v>30</v>
      </c>
      <c r="X204" s="16">
        <v>0</v>
      </c>
      <c r="Y204" s="16">
        <v>70</v>
      </c>
      <c r="Z204" s="3" t="s">
        <v>53</v>
      </c>
      <c r="AA204" s="15"/>
      <c r="AB204" s="3" t="s">
        <v>53</v>
      </c>
      <c r="AC204" s="3" t="s">
        <v>53</v>
      </c>
      <c r="AD204" s="3" t="s">
        <v>52</v>
      </c>
      <c r="AE204" s="16">
        <v>0</v>
      </c>
      <c r="AF204" s="3" t="s">
        <v>67</v>
      </c>
      <c r="AG204" s="3" t="s">
        <v>55</v>
      </c>
      <c r="AH204" s="3" t="s">
        <v>62</v>
      </c>
      <c r="AI204" s="3" t="s">
        <v>61</v>
      </c>
      <c r="AJ204" s="3" t="s">
        <v>56</v>
      </c>
      <c r="AK204" s="3" t="s">
        <v>75</v>
      </c>
      <c r="AL204" s="13">
        <f t="shared" si="39"/>
        <v>6</v>
      </c>
      <c r="AM204" s="15">
        <f t="shared" si="40"/>
        <v>0</v>
      </c>
      <c r="AN204" s="3">
        <f t="shared" si="41"/>
        <v>0</v>
      </c>
      <c r="AO204" s="3" t="str">
        <f t="shared" si="42"/>
        <v>No</v>
      </c>
      <c r="AP204" s="17" t="str">
        <f t="shared" si="43"/>
        <v/>
      </c>
      <c r="AQ204" s="17" t="str">
        <f t="shared" si="44"/>
        <v/>
      </c>
      <c r="AR204" s="17">
        <f t="shared" si="45"/>
        <v>0.25</v>
      </c>
      <c r="AS204" s="15">
        <f t="shared" si="46"/>
        <v>12000000</v>
      </c>
      <c r="AT204" s="17">
        <f t="shared" si="47"/>
        <v>0.17</v>
      </c>
      <c r="AU204" s="17" t="str">
        <f t="shared" si="48"/>
        <v/>
      </c>
      <c r="AV204" s="15">
        <f t="shared" si="49"/>
        <v>40000000</v>
      </c>
      <c r="AW204" s="18">
        <f t="shared" si="50"/>
        <v>0</v>
      </c>
      <c r="AX204" s="27" t="str">
        <f>IF(OR(K204&lt;Outlier_Audit!$H$2,K204&gt;Outlier_Audit!$I$2),"Review","Normal")</f>
        <v>Normal</v>
      </c>
      <c r="AY204" t="str">
        <f t="shared" si="51"/>
        <v>&lt;10 years</v>
      </c>
      <c r="AZ204" t="str">
        <f>IF(AQ204="","Missing",IF(AQ204&gt;=EDA_Performance!$B$7,"High Growth",IF(AQ204&lt;=EDA_Performance!$B$5,"Low Growth","Middle")))</f>
        <v>Missing</v>
      </c>
    </row>
    <row r="205" spans="1:52">
      <c r="A205" s="12">
        <v>1614682</v>
      </c>
      <c r="B205" s="3" t="s">
        <v>49</v>
      </c>
      <c r="C205" s="3" t="s">
        <v>58</v>
      </c>
      <c r="D205" s="13">
        <v>20</v>
      </c>
      <c r="E205" s="13">
        <v>1061</v>
      </c>
      <c r="F205" s="13">
        <v>10</v>
      </c>
      <c r="G205" s="3" t="s">
        <v>51</v>
      </c>
      <c r="H205" s="13">
        <v>2013</v>
      </c>
      <c r="I205" s="13">
        <v>12</v>
      </c>
      <c r="J205" s="14">
        <v>7.8952765464782715</v>
      </c>
      <c r="K205" s="15">
        <v>90000000</v>
      </c>
      <c r="L205" s="15">
        <v>70000000</v>
      </c>
      <c r="M205" s="16">
        <v>90</v>
      </c>
      <c r="N205" s="13">
        <v>8</v>
      </c>
      <c r="O205" s="13">
        <v>7</v>
      </c>
      <c r="P205" s="15">
        <v>24000000</v>
      </c>
      <c r="Q205" s="15">
        <v>30000000</v>
      </c>
      <c r="R205" s="15">
        <v>150000000</v>
      </c>
      <c r="S205" s="16">
        <v>0</v>
      </c>
      <c r="T205" s="3" t="s">
        <v>52</v>
      </c>
      <c r="U205" s="3" t="s">
        <v>53</v>
      </c>
      <c r="V205" s="3" t="s">
        <v>53</v>
      </c>
      <c r="W205" s="16">
        <v>60</v>
      </c>
      <c r="X205" s="16">
        <v>0</v>
      </c>
      <c r="Y205" s="16">
        <v>0</v>
      </c>
      <c r="Z205" s="3" t="s">
        <v>53</v>
      </c>
      <c r="AA205" s="15"/>
      <c r="AB205" s="3" t="s">
        <v>53</v>
      </c>
      <c r="AC205" s="3" t="s">
        <v>53</v>
      </c>
      <c r="AD205" s="3" t="s">
        <v>52</v>
      </c>
      <c r="AE205" s="16">
        <v>3</v>
      </c>
      <c r="AF205" s="3" t="s">
        <v>61</v>
      </c>
      <c r="AG205" s="3" t="s">
        <v>55</v>
      </c>
      <c r="AH205" s="3" t="s">
        <v>62</v>
      </c>
      <c r="AI205" s="3" t="s">
        <v>67</v>
      </c>
      <c r="AJ205" s="3" t="s">
        <v>63</v>
      </c>
      <c r="AK205" s="3" t="s">
        <v>64</v>
      </c>
      <c r="AL205" s="13">
        <f t="shared" si="39"/>
        <v>11</v>
      </c>
      <c r="AM205" s="15">
        <f t="shared" si="40"/>
        <v>0</v>
      </c>
      <c r="AN205" s="3">
        <f t="shared" si="41"/>
        <v>3</v>
      </c>
      <c r="AO205" s="3" t="str">
        <f t="shared" si="42"/>
        <v>No</v>
      </c>
      <c r="AP205" s="17">
        <f t="shared" si="43"/>
        <v>0.28571428571428581</v>
      </c>
      <c r="AQ205" s="17">
        <f t="shared" si="44"/>
        <v>0.1338934190276817</v>
      </c>
      <c r="AR205" s="17">
        <f t="shared" si="45"/>
        <v>0.14285714285714279</v>
      </c>
      <c r="AS205" s="15">
        <f t="shared" si="46"/>
        <v>11250000</v>
      </c>
      <c r="AT205" s="17">
        <f t="shared" si="47"/>
        <v>0.26666666666666666</v>
      </c>
      <c r="AU205" s="17">
        <f t="shared" si="48"/>
        <v>0.33333333333333331</v>
      </c>
      <c r="AV205" s="15">
        <f t="shared" si="49"/>
        <v>18750000</v>
      </c>
      <c r="AW205" s="18">
        <f t="shared" si="50"/>
        <v>0</v>
      </c>
      <c r="AX205" s="27" t="str">
        <f>IF(OR(K205&lt;Outlier_Audit!$H$2,K205&gt;Outlier_Audit!$I$2),"Review","Normal")</f>
        <v>Normal</v>
      </c>
      <c r="AY205" t="str">
        <f t="shared" si="51"/>
        <v>10-19 years</v>
      </c>
      <c r="AZ205" t="str">
        <f>IF(AQ205="","Missing",IF(AQ205&gt;=EDA_Performance!$B$7,"High Growth",IF(AQ205&lt;=EDA_Performance!$B$5,"Low Growth","Middle")))</f>
        <v>Middle</v>
      </c>
    </row>
    <row r="206" spans="1:52">
      <c r="A206" s="12">
        <v>1614686</v>
      </c>
      <c r="B206" s="3" t="s">
        <v>80</v>
      </c>
      <c r="C206" s="3" t="s">
        <v>58</v>
      </c>
      <c r="D206" s="13">
        <v>6</v>
      </c>
      <c r="E206" s="13">
        <v>3100</v>
      </c>
      <c r="F206" s="13">
        <v>31</v>
      </c>
      <c r="G206" s="3" t="s">
        <v>71</v>
      </c>
      <c r="H206" s="13">
        <v>2009</v>
      </c>
      <c r="I206" s="13">
        <v>19</v>
      </c>
      <c r="J206" s="14">
        <v>18.668731689453125</v>
      </c>
      <c r="K206" s="15">
        <v>16500000</v>
      </c>
      <c r="L206" s="15">
        <v>8170000</v>
      </c>
      <c r="M206" s="16">
        <v>60</v>
      </c>
      <c r="N206" s="13">
        <v>2</v>
      </c>
      <c r="O206" s="13">
        <v>2</v>
      </c>
      <c r="P206" s="15">
        <v>2160000</v>
      </c>
      <c r="Q206" s="15">
        <v>3000000</v>
      </c>
      <c r="R206" s="15">
        <v>43000000</v>
      </c>
      <c r="S206" s="16">
        <v>0</v>
      </c>
      <c r="T206" s="3" t="s">
        <v>60</v>
      </c>
      <c r="U206" s="3" t="s">
        <v>53</v>
      </c>
      <c r="V206" s="3" t="s">
        <v>53</v>
      </c>
      <c r="W206" s="16">
        <v>60</v>
      </c>
      <c r="X206" s="16">
        <v>0</v>
      </c>
      <c r="Y206" s="16">
        <v>10</v>
      </c>
      <c r="Z206" s="3" t="s">
        <v>53</v>
      </c>
      <c r="AA206" s="15"/>
      <c r="AB206" s="3" t="s">
        <v>53</v>
      </c>
      <c r="AC206" s="3" t="s">
        <v>53</v>
      </c>
      <c r="AD206" s="3" t="s">
        <v>52</v>
      </c>
      <c r="AE206" s="16">
        <v>5</v>
      </c>
      <c r="AF206" s="3" t="s">
        <v>62</v>
      </c>
      <c r="AG206" s="3" t="s">
        <v>55</v>
      </c>
      <c r="AH206" s="3" t="s">
        <v>62</v>
      </c>
      <c r="AI206" s="3" t="s">
        <v>62</v>
      </c>
      <c r="AJ206" s="3" t="s">
        <v>56</v>
      </c>
      <c r="AK206" s="3" t="s">
        <v>75</v>
      </c>
      <c r="AL206" s="13">
        <f t="shared" si="39"/>
        <v>15</v>
      </c>
      <c r="AM206" s="15">
        <f t="shared" si="40"/>
        <v>0</v>
      </c>
      <c r="AN206" s="3">
        <f t="shared" si="41"/>
        <v>5</v>
      </c>
      <c r="AO206" s="3" t="str">
        <f t="shared" si="42"/>
        <v>No</v>
      </c>
      <c r="AP206" s="17">
        <f t="shared" si="43"/>
        <v>1.0195838433292534</v>
      </c>
      <c r="AQ206" s="17">
        <f t="shared" si="44"/>
        <v>0.42112062940809269</v>
      </c>
      <c r="AR206" s="17">
        <f t="shared" si="45"/>
        <v>0</v>
      </c>
      <c r="AS206" s="15">
        <f t="shared" si="46"/>
        <v>8250000</v>
      </c>
      <c r="AT206" s="17">
        <f t="shared" si="47"/>
        <v>0.13090909090909092</v>
      </c>
      <c r="AU206" s="17">
        <f t="shared" si="48"/>
        <v>0.18181818181818182</v>
      </c>
      <c r="AV206" s="15">
        <f t="shared" si="49"/>
        <v>21500000</v>
      </c>
      <c r="AW206" s="18">
        <f t="shared" si="50"/>
        <v>0</v>
      </c>
      <c r="AX206" s="27" t="str">
        <f>IF(OR(K206&lt;Outlier_Audit!$H$2,K206&gt;Outlier_Audit!$I$2),"Review","Normal")</f>
        <v>Normal</v>
      </c>
      <c r="AY206" t="str">
        <f t="shared" si="51"/>
        <v>10-19 years</v>
      </c>
      <c r="AZ206" t="str">
        <f>IF(AQ206="","Missing",IF(AQ206&gt;=EDA_Performance!$B$7,"High Growth",IF(AQ206&lt;=EDA_Performance!$B$5,"Low Growth","Middle")))</f>
        <v>High Growth</v>
      </c>
    </row>
    <row r="207" spans="1:52">
      <c r="A207" s="12">
        <v>1614693</v>
      </c>
      <c r="B207" s="3" t="s">
        <v>80</v>
      </c>
      <c r="C207" s="3" t="s">
        <v>58</v>
      </c>
      <c r="D207" s="13">
        <v>15</v>
      </c>
      <c r="E207" s="13">
        <v>2511</v>
      </c>
      <c r="F207" s="13">
        <v>25</v>
      </c>
      <c r="G207" s="3" t="s">
        <v>76</v>
      </c>
      <c r="H207" s="13">
        <v>2009</v>
      </c>
      <c r="I207" s="13">
        <v>15</v>
      </c>
      <c r="J207" s="14">
        <v>18.668731689453125</v>
      </c>
      <c r="K207" s="15">
        <v>200000000</v>
      </c>
      <c r="L207" s="15">
        <v>200000000</v>
      </c>
      <c r="M207" s="16">
        <v>45</v>
      </c>
      <c r="N207" s="13">
        <v>10</v>
      </c>
      <c r="O207" s="13">
        <v>10</v>
      </c>
      <c r="P207" s="15">
        <v>35000000</v>
      </c>
      <c r="Q207" s="15">
        <v>50000000</v>
      </c>
      <c r="R207" s="15">
        <v>1000000000</v>
      </c>
      <c r="S207" s="16">
        <v>0</v>
      </c>
      <c r="T207" s="3" t="s">
        <v>60</v>
      </c>
      <c r="U207" s="3" t="s">
        <v>53</v>
      </c>
      <c r="V207" s="3" t="s">
        <v>53</v>
      </c>
      <c r="W207" s="16">
        <v>80</v>
      </c>
      <c r="X207" s="16">
        <v>0</v>
      </c>
      <c r="Y207" s="16">
        <v>0</v>
      </c>
      <c r="Z207" s="3" t="s">
        <v>53</v>
      </c>
      <c r="AA207" s="15"/>
      <c r="AB207" s="3" t="s">
        <v>53</v>
      </c>
      <c r="AC207" s="3" t="s">
        <v>53</v>
      </c>
      <c r="AD207" s="3" t="s">
        <v>53</v>
      </c>
      <c r="AE207" s="16"/>
      <c r="AF207" s="3" t="s">
        <v>67</v>
      </c>
      <c r="AG207" s="3" t="s">
        <v>62</v>
      </c>
      <c r="AH207" s="3" t="s">
        <v>62</v>
      </c>
      <c r="AI207" s="3" t="s">
        <v>62</v>
      </c>
      <c r="AJ207" s="3" t="s">
        <v>81</v>
      </c>
      <c r="AK207" s="3" t="s">
        <v>75</v>
      </c>
      <c r="AL207" s="13">
        <f t="shared" si="39"/>
        <v>15</v>
      </c>
      <c r="AM207" s="15">
        <f t="shared" si="40"/>
        <v>0</v>
      </c>
      <c r="AN207" s="3">
        <f t="shared" si="41"/>
        <v>0</v>
      </c>
      <c r="AO207" s="3" t="str">
        <f t="shared" si="42"/>
        <v>No</v>
      </c>
      <c r="AP207" s="17">
        <f t="shared" si="43"/>
        <v>0</v>
      </c>
      <c r="AQ207" s="17">
        <f t="shared" si="44"/>
        <v>0</v>
      </c>
      <c r="AR207" s="17">
        <f t="shared" si="45"/>
        <v>0</v>
      </c>
      <c r="AS207" s="15">
        <f t="shared" si="46"/>
        <v>20000000</v>
      </c>
      <c r="AT207" s="17">
        <f t="shared" si="47"/>
        <v>0.17499999999999999</v>
      </c>
      <c r="AU207" s="17">
        <f t="shared" si="48"/>
        <v>0.25</v>
      </c>
      <c r="AV207" s="15">
        <f t="shared" si="49"/>
        <v>100000000</v>
      </c>
      <c r="AW207" s="18">
        <f t="shared" si="50"/>
        <v>0</v>
      </c>
      <c r="AX207" s="27" t="str">
        <f>IF(OR(K207&lt;Outlier_Audit!$H$2,K207&gt;Outlier_Audit!$I$2),"Review","Normal")</f>
        <v>Normal</v>
      </c>
      <c r="AY207" t="str">
        <f t="shared" si="51"/>
        <v>10-19 years</v>
      </c>
      <c r="AZ207" t="str">
        <f>IF(AQ207="","Missing",IF(AQ207&gt;=EDA_Performance!$B$7,"High Growth",IF(AQ207&lt;=EDA_Performance!$B$5,"Low Growth","Middle")))</f>
        <v>Low Growth</v>
      </c>
    </row>
    <row r="208" spans="1:52">
      <c r="A208" s="12">
        <v>1614698</v>
      </c>
      <c r="B208" s="3" t="s">
        <v>74</v>
      </c>
      <c r="C208" s="3" t="s">
        <v>66</v>
      </c>
      <c r="D208" s="13">
        <v>10</v>
      </c>
      <c r="E208" s="13">
        <v>2599</v>
      </c>
      <c r="F208" s="13">
        <v>25</v>
      </c>
      <c r="G208" s="3" t="s">
        <v>76</v>
      </c>
      <c r="H208" s="13">
        <v>1990</v>
      </c>
      <c r="I208" s="13">
        <v>30</v>
      </c>
      <c r="J208" s="14">
        <v>2.6198341846466064</v>
      </c>
      <c r="K208" s="15">
        <v>15000000</v>
      </c>
      <c r="L208" s="15"/>
      <c r="M208" s="16">
        <v>7</v>
      </c>
      <c r="N208" s="13">
        <v>8</v>
      </c>
      <c r="O208" s="13">
        <v>7</v>
      </c>
      <c r="P208" s="15"/>
      <c r="Q208" s="15">
        <v>5000000</v>
      </c>
      <c r="R208" s="15">
        <v>3500000</v>
      </c>
      <c r="S208" s="16">
        <v>0</v>
      </c>
      <c r="T208" s="3" t="s">
        <v>60</v>
      </c>
      <c r="U208" s="3" t="s">
        <v>52</v>
      </c>
      <c r="V208" s="3" t="s">
        <v>53</v>
      </c>
      <c r="W208" s="16">
        <v>30</v>
      </c>
      <c r="X208" s="16">
        <v>48</v>
      </c>
      <c r="Y208" s="16">
        <v>12</v>
      </c>
      <c r="Z208" s="3" t="s">
        <v>52</v>
      </c>
      <c r="AA208" s="15">
        <v>900000</v>
      </c>
      <c r="AB208" s="3" t="s">
        <v>53</v>
      </c>
      <c r="AC208" s="3" t="s">
        <v>52</v>
      </c>
      <c r="AD208" s="3" t="s">
        <v>53</v>
      </c>
      <c r="AE208" s="16"/>
      <c r="AF208" s="3" t="s">
        <v>55</v>
      </c>
      <c r="AG208" s="3" t="s">
        <v>55</v>
      </c>
      <c r="AH208" s="3" t="s">
        <v>62</v>
      </c>
      <c r="AI208" s="3" t="s">
        <v>55</v>
      </c>
      <c r="AJ208" s="3" t="s">
        <v>63</v>
      </c>
      <c r="AK208" s="3" t="s">
        <v>75</v>
      </c>
      <c r="AL208" s="13">
        <f t="shared" si="39"/>
        <v>34</v>
      </c>
      <c r="AM208" s="15">
        <f t="shared" si="40"/>
        <v>900000</v>
      </c>
      <c r="AN208" s="3">
        <f t="shared" si="41"/>
        <v>0</v>
      </c>
      <c r="AO208" s="3" t="str">
        <f t="shared" si="42"/>
        <v>No</v>
      </c>
      <c r="AP208" s="17" t="str">
        <f t="shared" si="43"/>
        <v/>
      </c>
      <c r="AQ208" s="17" t="str">
        <f t="shared" si="44"/>
        <v/>
      </c>
      <c r="AR208" s="17">
        <f t="shared" si="45"/>
        <v>0.14285714285714279</v>
      </c>
      <c r="AS208" s="15">
        <f t="shared" si="46"/>
        <v>1875000</v>
      </c>
      <c r="AT208" s="17" t="str">
        <f t="shared" si="47"/>
        <v/>
      </c>
      <c r="AU208" s="17">
        <f t="shared" si="48"/>
        <v>0.33333333333333331</v>
      </c>
      <c r="AV208" s="15">
        <f t="shared" si="49"/>
        <v>437500</v>
      </c>
      <c r="AW208" s="18">
        <f t="shared" si="50"/>
        <v>0.06</v>
      </c>
      <c r="AX208" s="27" t="str">
        <f>IF(OR(K208&lt;Outlier_Audit!$H$2,K208&gt;Outlier_Audit!$I$2),"Review","Normal")</f>
        <v>Normal</v>
      </c>
      <c r="AY208" t="str">
        <f t="shared" si="51"/>
        <v>30+ years</v>
      </c>
      <c r="AZ208" t="str">
        <f>IF(AQ208="","Missing",IF(AQ208&gt;=EDA_Performance!$B$7,"High Growth",IF(AQ208&lt;=EDA_Performance!$B$5,"Low Growth","Middle")))</f>
        <v>Missing</v>
      </c>
    </row>
    <row r="209" spans="1:52">
      <c r="A209" s="12">
        <v>1614703</v>
      </c>
      <c r="B209" s="3" t="s">
        <v>80</v>
      </c>
      <c r="C209" s="3" t="s">
        <v>58</v>
      </c>
      <c r="D209" s="13">
        <v>16</v>
      </c>
      <c r="E209" s="13">
        <v>3100</v>
      </c>
      <c r="F209" s="13">
        <v>31</v>
      </c>
      <c r="G209" s="3" t="s">
        <v>71</v>
      </c>
      <c r="H209" s="13">
        <v>2012</v>
      </c>
      <c r="I209" s="13">
        <v>13</v>
      </c>
      <c r="J209" s="14">
        <v>18.668731689453125</v>
      </c>
      <c r="K209" s="15">
        <v>55000000</v>
      </c>
      <c r="L209" s="15">
        <v>55000000</v>
      </c>
      <c r="M209" s="16">
        <v>86</v>
      </c>
      <c r="N209" s="13">
        <v>14</v>
      </c>
      <c r="O209" s="13">
        <v>14</v>
      </c>
      <c r="P209" s="15">
        <v>23000000</v>
      </c>
      <c r="Q209" s="15">
        <v>12000000</v>
      </c>
      <c r="R209" s="15">
        <v>25000000000</v>
      </c>
      <c r="S209" s="16">
        <v>0</v>
      </c>
      <c r="T209" s="3" t="s">
        <v>60</v>
      </c>
      <c r="U209" s="3" t="s">
        <v>53</v>
      </c>
      <c r="V209" s="3" t="s">
        <v>53</v>
      </c>
      <c r="W209" s="16">
        <v>100</v>
      </c>
      <c r="X209" s="16">
        <v>0</v>
      </c>
      <c r="Y209" s="16">
        <v>0</v>
      </c>
      <c r="Z209" s="3" t="s">
        <v>53</v>
      </c>
      <c r="AA209" s="15"/>
      <c r="AB209" s="3" t="s">
        <v>53</v>
      </c>
      <c r="AC209" s="3" t="s">
        <v>53</v>
      </c>
      <c r="AD209" s="3" t="s">
        <v>53</v>
      </c>
      <c r="AE209" s="16"/>
      <c r="AF209" s="3" t="s">
        <v>67</v>
      </c>
      <c r="AG209" s="3" t="s">
        <v>67</v>
      </c>
      <c r="AH209" s="3" t="s">
        <v>62</v>
      </c>
      <c r="AI209" s="3" t="s">
        <v>62</v>
      </c>
      <c r="AJ209" s="3" t="s">
        <v>87</v>
      </c>
      <c r="AK209" s="3" t="s">
        <v>75</v>
      </c>
      <c r="AL209" s="13">
        <f t="shared" si="39"/>
        <v>12</v>
      </c>
      <c r="AM209" s="15">
        <f t="shared" si="40"/>
        <v>0</v>
      </c>
      <c r="AN209" s="3">
        <f t="shared" si="41"/>
        <v>0</v>
      </c>
      <c r="AO209" s="3" t="str">
        <f t="shared" si="42"/>
        <v>No</v>
      </c>
      <c r="AP209" s="17">
        <f t="shared" si="43"/>
        <v>0</v>
      </c>
      <c r="AQ209" s="17">
        <f t="shared" si="44"/>
        <v>0</v>
      </c>
      <c r="AR209" s="17">
        <f t="shared" si="45"/>
        <v>0</v>
      </c>
      <c r="AS209" s="15">
        <f t="shared" si="46"/>
        <v>3928571.4285714286</v>
      </c>
      <c r="AT209" s="17">
        <f t="shared" si="47"/>
        <v>0.41818181818181815</v>
      </c>
      <c r="AU209" s="17">
        <f t="shared" si="48"/>
        <v>0.21818181818181817</v>
      </c>
      <c r="AV209" s="15">
        <f t="shared" si="49"/>
        <v>1785714285.7142856</v>
      </c>
      <c r="AW209" s="18">
        <f t="shared" si="50"/>
        <v>0</v>
      </c>
      <c r="AX209" s="27" t="str">
        <f>IF(OR(K209&lt;Outlier_Audit!$H$2,K209&gt;Outlier_Audit!$I$2),"Review","Normal")</f>
        <v>Normal</v>
      </c>
      <c r="AY209" t="str">
        <f t="shared" si="51"/>
        <v>10-19 years</v>
      </c>
      <c r="AZ209" t="str">
        <f>IF(AQ209="","Missing",IF(AQ209&gt;=EDA_Performance!$B$7,"High Growth",IF(AQ209&lt;=EDA_Performance!$B$5,"Low Growth","Middle")))</f>
        <v>Low Growth</v>
      </c>
    </row>
    <row r="210" spans="1:52">
      <c r="A210" s="12">
        <v>1614704</v>
      </c>
      <c r="B210" s="3" t="s">
        <v>74</v>
      </c>
      <c r="C210" s="3" t="s">
        <v>58</v>
      </c>
      <c r="D210" s="13">
        <v>7</v>
      </c>
      <c r="E210" s="13">
        <v>1079</v>
      </c>
      <c r="F210" s="13">
        <v>10</v>
      </c>
      <c r="G210" s="3" t="s">
        <v>51</v>
      </c>
      <c r="H210" s="13"/>
      <c r="I210" s="13"/>
      <c r="J210" s="14">
        <v>11.033946990966797</v>
      </c>
      <c r="K210" s="15">
        <v>38000000</v>
      </c>
      <c r="L210" s="15"/>
      <c r="M210" s="16">
        <v>1</v>
      </c>
      <c r="N210" s="13">
        <v>4</v>
      </c>
      <c r="O210" s="13"/>
      <c r="P210" s="15">
        <v>20000000</v>
      </c>
      <c r="Q210" s="15">
        <v>0</v>
      </c>
      <c r="R210" s="15"/>
      <c r="S210" s="16">
        <v>0</v>
      </c>
      <c r="T210" s="3" t="s">
        <v>60</v>
      </c>
      <c r="U210" s="3" t="s">
        <v>53</v>
      </c>
      <c r="V210" s="3" t="s">
        <v>53</v>
      </c>
      <c r="W210" s="16">
        <v>100</v>
      </c>
      <c r="X210" s="16">
        <v>0</v>
      </c>
      <c r="Y210" s="16">
        <v>0</v>
      </c>
      <c r="Z210" s="3" t="s">
        <v>53</v>
      </c>
      <c r="AA210" s="15"/>
      <c r="AB210" s="3" t="s">
        <v>53</v>
      </c>
      <c r="AC210" s="3" t="s">
        <v>53</v>
      </c>
      <c r="AD210" s="3" t="s">
        <v>53</v>
      </c>
      <c r="AE210" s="16"/>
      <c r="AF210" s="3" t="s">
        <v>61</v>
      </c>
      <c r="AG210" s="3" t="s">
        <v>62</v>
      </c>
      <c r="AH210" s="3" t="s">
        <v>67</v>
      </c>
      <c r="AI210" s="3" t="s">
        <v>67</v>
      </c>
      <c r="AJ210" s="3" t="s">
        <v>63</v>
      </c>
      <c r="AK210" s="3" t="s">
        <v>57</v>
      </c>
      <c r="AL210" s="13" t="str">
        <f t="shared" si="39"/>
        <v/>
      </c>
      <c r="AM210" s="15">
        <f t="shared" si="40"/>
        <v>0</v>
      </c>
      <c r="AN210" s="3">
        <f t="shared" si="41"/>
        <v>0</v>
      </c>
      <c r="AO210" s="3" t="str">
        <f t="shared" si="42"/>
        <v>No</v>
      </c>
      <c r="AP210" s="17" t="str">
        <f t="shared" si="43"/>
        <v/>
      </c>
      <c r="AQ210" s="17" t="str">
        <f t="shared" si="44"/>
        <v/>
      </c>
      <c r="AR210" s="17" t="str">
        <f t="shared" si="45"/>
        <v/>
      </c>
      <c r="AS210" s="15">
        <f t="shared" si="46"/>
        <v>9500000</v>
      </c>
      <c r="AT210" s="17">
        <f t="shared" si="47"/>
        <v>0.52631578947368418</v>
      </c>
      <c r="AU210" s="17">
        <f t="shared" si="48"/>
        <v>0</v>
      </c>
      <c r="AV210" s="15" t="str">
        <f t="shared" si="49"/>
        <v/>
      </c>
      <c r="AW210" s="18">
        <f t="shared" si="50"/>
        <v>0</v>
      </c>
      <c r="AX210" s="27" t="str">
        <f>IF(OR(K210&lt;Outlier_Audit!$H$2,K210&gt;Outlier_Audit!$I$2),"Review","Normal")</f>
        <v>Normal</v>
      </c>
      <c r="AY210" t="str">
        <f t="shared" si="51"/>
        <v>Unknown</v>
      </c>
      <c r="AZ210" t="str">
        <f>IF(AQ210="","Missing",IF(AQ210&gt;=EDA_Performance!$B$7,"High Growth",IF(AQ210&lt;=EDA_Performance!$B$5,"Low Growth","Middle")))</f>
        <v>Missing</v>
      </c>
    </row>
    <row r="211" spans="1:52">
      <c r="A211" s="12">
        <v>1614707</v>
      </c>
      <c r="B211" s="3" t="s">
        <v>74</v>
      </c>
      <c r="C211" s="3" t="s">
        <v>66</v>
      </c>
      <c r="D211" s="13">
        <v>9</v>
      </c>
      <c r="E211" s="13">
        <v>3100</v>
      </c>
      <c r="F211" s="13">
        <v>31</v>
      </c>
      <c r="G211" s="3" t="s">
        <v>71</v>
      </c>
      <c r="H211" s="13">
        <v>2008</v>
      </c>
      <c r="I211" s="13">
        <v>19</v>
      </c>
      <c r="J211" s="14">
        <v>2.6198341846466064</v>
      </c>
      <c r="K211" s="15">
        <v>74500000</v>
      </c>
      <c r="L211" s="15">
        <v>40600000</v>
      </c>
      <c r="M211" s="16"/>
      <c r="N211" s="13">
        <v>5</v>
      </c>
      <c r="O211" s="13">
        <v>2</v>
      </c>
      <c r="P211" s="15"/>
      <c r="Q211" s="15"/>
      <c r="R211" s="15">
        <v>3000000</v>
      </c>
      <c r="S211" s="16">
        <v>0</v>
      </c>
      <c r="T211" s="3" t="s">
        <v>60</v>
      </c>
      <c r="U211" s="3" t="s">
        <v>53</v>
      </c>
      <c r="V211" s="3" t="s">
        <v>53</v>
      </c>
      <c r="W211" s="16">
        <v>70</v>
      </c>
      <c r="X211" s="16">
        <v>0</v>
      </c>
      <c r="Y211" s="16">
        <v>0</v>
      </c>
      <c r="Z211" s="3" t="s">
        <v>53</v>
      </c>
      <c r="AA211" s="15"/>
      <c r="AB211" s="3" t="s">
        <v>53</v>
      </c>
      <c r="AC211" s="3" t="s">
        <v>53</v>
      </c>
      <c r="AD211" s="3" t="s">
        <v>52</v>
      </c>
      <c r="AE211" s="16">
        <v>5</v>
      </c>
      <c r="AF211" s="3" t="s">
        <v>67</v>
      </c>
      <c r="AG211" s="3" t="s">
        <v>54</v>
      </c>
      <c r="AH211" s="3" t="s">
        <v>62</v>
      </c>
      <c r="AI211" s="3" t="s">
        <v>67</v>
      </c>
      <c r="AJ211" s="3" t="s">
        <v>70</v>
      </c>
      <c r="AK211" s="3" t="s">
        <v>75</v>
      </c>
      <c r="AL211" s="13">
        <f t="shared" si="39"/>
        <v>16</v>
      </c>
      <c r="AM211" s="15">
        <f t="shared" si="40"/>
        <v>0</v>
      </c>
      <c r="AN211" s="3">
        <f t="shared" si="41"/>
        <v>5</v>
      </c>
      <c r="AO211" s="3" t="str">
        <f t="shared" si="42"/>
        <v>No</v>
      </c>
      <c r="AP211" s="17">
        <f t="shared" si="43"/>
        <v>0.83497536945812811</v>
      </c>
      <c r="AQ211" s="17">
        <f t="shared" si="44"/>
        <v>0.35461262708500096</v>
      </c>
      <c r="AR211" s="17">
        <f t="shared" si="45"/>
        <v>1.5</v>
      </c>
      <c r="AS211" s="15">
        <f t="shared" si="46"/>
        <v>14900000</v>
      </c>
      <c r="AT211" s="17" t="str">
        <f t="shared" si="47"/>
        <v/>
      </c>
      <c r="AU211" s="17" t="str">
        <f t="shared" si="48"/>
        <v/>
      </c>
      <c r="AV211" s="15">
        <f t="shared" si="49"/>
        <v>600000</v>
      </c>
      <c r="AW211" s="18">
        <f t="shared" si="50"/>
        <v>0</v>
      </c>
      <c r="AX211" s="27" t="str">
        <f>IF(OR(K211&lt;Outlier_Audit!$H$2,K211&gt;Outlier_Audit!$I$2),"Review","Normal")</f>
        <v>Normal</v>
      </c>
      <c r="AY211" t="str">
        <f t="shared" si="51"/>
        <v>10-19 years</v>
      </c>
      <c r="AZ211" t="str">
        <f>IF(AQ211="","Missing",IF(AQ211&gt;=EDA_Performance!$B$7,"High Growth",IF(AQ211&lt;=EDA_Performance!$B$5,"Low Growth","Middle")))</f>
        <v>High Growth</v>
      </c>
    </row>
    <row r="212" spans="1:52">
      <c r="A212" s="12">
        <v>1614712</v>
      </c>
      <c r="B212" s="3" t="s">
        <v>49</v>
      </c>
      <c r="C212" s="3" t="s">
        <v>66</v>
      </c>
      <c r="D212" s="13">
        <v>16</v>
      </c>
      <c r="E212" s="13">
        <v>1071</v>
      </c>
      <c r="F212" s="13">
        <v>10</v>
      </c>
      <c r="G212" s="3" t="s">
        <v>51</v>
      </c>
      <c r="H212" s="13">
        <v>2020</v>
      </c>
      <c r="I212" s="13">
        <v>5</v>
      </c>
      <c r="J212" s="14">
        <v>1.6103764772415161</v>
      </c>
      <c r="K212" s="15">
        <v>150000000</v>
      </c>
      <c r="L212" s="15">
        <v>120000000</v>
      </c>
      <c r="M212" s="16">
        <v>60</v>
      </c>
      <c r="N212" s="13">
        <v>16</v>
      </c>
      <c r="O212" s="13">
        <v>11</v>
      </c>
      <c r="P212" s="15">
        <v>50000000</v>
      </c>
      <c r="Q212" s="15">
        <v>40000000</v>
      </c>
      <c r="R212" s="15">
        <v>3000000</v>
      </c>
      <c r="S212" s="16">
        <v>0</v>
      </c>
      <c r="T212" s="3" t="s">
        <v>60</v>
      </c>
      <c r="U212" s="3" t="s">
        <v>53</v>
      </c>
      <c r="V212" s="3" t="s">
        <v>52</v>
      </c>
      <c r="W212" s="16">
        <v>100</v>
      </c>
      <c r="X212" s="16">
        <v>0</v>
      </c>
      <c r="Y212" s="16">
        <v>0</v>
      </c>
      <c r="Z212" s="3" t="s">
        <v>52</v>
      </c>
      <c r="AA212" s="15">
        <v>7000000</v>
      </c>
      <c r="AB212" s="3" t="s">
        <v>53</v>
      </c>
      <c r="AC212" s="3" t="s">
        <v>53</v>
      </c>
      <c r="AD212" s="3" t="s">
        <v>52</v>
      </c>
      <c r="AE212" s="16">
        <v>10</v>
      </c>
      <c r="AF212" s="3" t="s">
        <v>67</v>
      </c>
      <c r="AG212" s="3" t="s">
        <v>67</v>
      </c>
      <c r="AH212" s="3" t="s">
        <v>62</v>
      </c>
      <c r="AI212" s="3" t="s">
        <v>54</v>
      </c>
      <c r="AJ212" s="3" t="s">
        <v>79</v>
      </c>
      <c r="AK212" s="3" t="s">
        <v>57</v>
      </c>
      <c r="AL212" s="13">
        <f t="shared" si="39"/>
        <v>4</v>
      </c>
      <c r="AM212" s="15">
        <f t="shared" si="40"/>
        <v>7000000</v>
      </c>
      <c r="AN212" s="3">
        <f t="shared" si="41"/>
        <v>10</v>
      </c>
      <c r="AO212" s="3" t="str">
        <f t="shared" si="42"/>
        <v>No</v>
      </c>
      <c r="AP212" s="17">
        <f t="shared" si="43"/>
        <v>0.25</v>
      </c>
      <c r="AQ212" s="17">
        <f t="shared" si="44"/>
        <v>0.1180339887498949</v>
      </c>
      <c r="AR212" s="17">
        <f t="shared" si="45"/>
        <v>0.45454545454545459</v>
      </c>
      <c r="AS212" s="15">
        <f t="shared" si="46"/>
        <v>9375000</v>
      </c>
      <c r="AT212" s="17">
        <f t="shared" si="47"/>
        <v>0.33333333333333331</v>
      </c>
      <c r="AU212" s="17">
        <f t="shared" si="48"/>
        <v>0.26666666666666666</v>
      </c>
      <c r="AV212" s="15">
        <f t="shared" si="49"/>
        <v>187500</v>
      </c>
      <c r="AW212" s="18">
        <f t="shared" si="50"/>
        <v>4.6666666666666669E-2</v>
      </c>
      <c r="AX212" s="27" t="str">
        <f>IF(OR(K212&lt;Outlier_Audit!$H$2,K212&gt;Outlier_Audit!$I$2),"Review","Normal")</f>
        <v>Normal</v>
      </c>
      <c r="AY212" t="str">
        <f t="shared" si="51"/>
        <v>&lt;10 years</v>
      </c>
      <c r="AZ212" t="str">
        <f>IF(AQ212="","Missing",IF(AQ212&gt;=EDA_Performance!$B$7,"High Growth",IF(AQ212&lt;=EDA_Performance!$B$5,"Low Growth","Middle")))</f>
        <v>Middle</v>
      </c>
    </row>
    <row r="213" spans="1:52">
      <c r="A213" s="12">
        <v>1614716</v>
      </c>
      <c r="B213" s="3" t="s">
        <v>65</v>
      </c>
      <c r="C213" s="3" t="s">
        <v>50</v>
      </c>
      <c r="D213" s="13">
        <v>200</v>
      </c>
      <c r="E213" s="13">
        <v>2392</v>
      </c>
      <c r="F213" s="13">
        <v>23</v>
      </c>
      <c r="G213" s="3" t="s">
        <v>83</v>
      </c>
      <c r="H213" s="13">
        <v>2000</v>
      </c>
      <c r="I213" s="13">
        <v>30</v>
      </c>
      <c r="J213" s="14">
        <v>1.5749640464782715</v>
      </c>
      <c r="K213" s="15">
        <v>7000000000</v>
      </c>
      <c r="L213" s="15">
        <v>2000000000</v>
      </c>
      <c r="M213" s="16">
        <v>60</v>
      </c>
      <c r="N213" s="13">
        <v>200</v>
      </c>
      <c r="O213" s="13">
        <v>100</v>
      </c>
      <c r="P213" s="15">
        <v>300000000</v>
      </c>
      <c r="Q213" s="15">
        <v>2000000000</v>
      </c>
      <c r="R213" s="15">
        <v>20000000000</v>
      </c>
      <c r="S213" s="16">
        <v>0</v>
      </c>
      <c r="T213" s="3" t="s">
        <v>52</v>
      </c>
      <c r="U213" s="3" t="s">
        <v>52</v>
      </c>
      <c r="V213" s="3" t="s">
        <v>52</v>
      </c>
      <c r="W213" s="16">
        <v>70</v>
      </c>
      <c r="X213" s="16">
        <v>0</v>
      </c>
      <c r="Y213" s="16">
        <v>25</v>
      </c>
      <c r="Z213" s="3" t="s">
        <v>53</v>
      </c>
      <c r="AA213" s="15"/>
      <c r="AB213" s="3" t="s">
        <v>53</v>
      </c>
      <c r="AC213" s="3" t="s">
        <v>53</v>
      </c>
      <c r="AD213" s="3" t="s">
        <v>52</v>
      </c>
      <c r="AE213" s="16">
        <v>5</v>
      </c>
      <c r="AF213" s="3" t="s">
        <v>62</v>
      </c>
      <c r="AG213" s="3" t="s">
        <v>62</v>
      </c>
      <c r="AH213" s="3" t="s">
        <v>62</v>
      </c>
      <c r="AI213" s="3" t="s">
        <v>67</v>
      </c>
      <c r="AJ213" s="3" t="s">
        <v>68</v>
      </c>
      <c r="AK213" s="3" t="s">
        <v>57</v>
      </c>
      <c r="AL213" s="13">
        <f t="shared" si="39"/>
        <v>24</v>
      </c>
      <c r="AM213" s="15">
        <f t="shared" si="40"/>
        <v>0</v>
      </c>
      <c r="AN213" s="3">
        <f t="shared" si="41"/>
        <v>5</v>
      </c>
      <c r="AO213" s="3" t="str">
        <f t="shared" si="42"/>
        <v>No</v>
      </c>
      <c r="AP213" s="17">
        <f t="shared" si="43"/>
        <v>2.5</v>
      </c>
      <c r="AQ213" s="17">
        <f t="shared" si="44"/>
        <v>0.87082869338697066</v>
      </c>
      <c r="AR213" s="17">
        <f t="shared" si="45"/>
        <v>1</v>
      </c>
      <c r="AS213" s="15">
        <f t="shared" si="46"/>
        <v>35000000</v>
      </c>
      <c r="AT213" s="17">
        <f t="shared" si="47"/>
        <v>4.2857142857142858E-2</v>
      </c>
      <c r="AU213" s="17">
        <f t="shared" si="48"/>
        <v>0.2857142857142857</v>
      </c>
      <c r="AV213" s="15">
        <f t="shared" si="49"/>
        <v>100000000</v>
      </c>
      <c r="AW213" s="18">
        <f t="shared" si="50"/>
        <v>0</v>
      </c>
      <c r="AX213" s="27" t="str">
        <f>IF(OR(K213&lt;Outlier_Audit!$H$2,K213&gt;Outlier_Audit!$I$2),"Review","Normal")</f>
        <v>Normal</v>
      </c>
      <c r="AY213" t="str">
        <f t="shared" si="51"/>
        <v>20-29 years</v>
      </c>
      <c r="AZ213" t="str">
        <f>IF(AQ213="","Missing",IF(AQ213&gt;=EDA_Performance!$B$7,"High Growth",IF(AQ213&lt;=EDA_Performance!$B$5,"Low Growth","Middle")))</f>
        <v>High Growth</v>
      </c>
    </row>
    <row r="214" spans="1:52">
      <c r="A214" s="12">
        <v>1614717</v>
      </c>
      <c r="B214" s="3" t="s">
        <v>74</v>
      </c>
      <c r="C214" s="3" t="s">
        <v>58</v>
      </c>
      <c r="D214" s="13">
        <v>8</v>
      </c>
      <c r="E214" s="13">
        <v>1071</v>
      </c>
      <c r="F214" s="13">
        <v>10</v>
      </c>
      <c r="G214" s="3" t="s">
        <v>51</v>
      </c>
      <c r="H214" s="13">
        <v>2023</v>
      </c>
      <c r="I214" s="13">
        <v>3</v>
      </c>
      <c r="J214" s="14">
        <v>11.033946990966797</v>
      </c>
      <c r="K214" s="15">
        <v>24000000</v>
      </c>
      <c r="L214" s="15"/>
      <c r="M214" s="16">
        <v>1</v>
      </c>
      <c r="N214" s="13">
        <v>6</v>
      </c>
      <c r="O214" s="13"/>
      <c r="P214" s="15">
        <v>5760000</v>
      </c>
      <c r="Q214" s="15">
        <v>5000000</v>
      </c>
      <c r="R214" s="15">
        <v>3000000</v>
      </c>
      <c r="S214" s="16">
        <v>0</v>
      </c>
      <c r="T214" s="3" t="s">
        <v>60</v>
      </c>
      <c r="U214" s="3" t="s">
        <v>53</v>
      </c>
      <c r="V214" s="3" t="s">
        <v>53</v>
      </c>
      <c r="W214" s="16">
        <v>80</v>
      </c>
      <c r="X214" s="16">
        <v>0</v>
      </c>
      <c r="Y214" s="16">
        <v>20</v>
      </c>
      <c r="Z214" s="3" t="s">
        <v>53</v>
      </c>
      <c r="AA214" s="15"/>
      <c r="AB214" s="3" t="s">
        <v>53</v>
      </c>
      <c r="AC214" s="3" t="s">
        <v>53</v>
      </c>
      <c r="AD214" s="3" t="s">
        <v>52</v>
      </c>
      <c r="AE214" s="16">
        <v>4</v>
      </c>
      <c r="AF214" s="3" t="s">
        <v>54</v>
      </c>
      <c r="AG214" s="3" t="s">
        <v>55</v>
      </c>
      <c r="AH214" s="3" t="s">
        <v>62</v>
      </c>
      <c r="AI214" s="3" t="s">
        <v>54</v>
      </c>
      <c r="AJ214" s="3" t="s">
        <v>70</v>
      </c>
      <c r="AK214" s="3" t="s">
        <v>75</v>
      </c>
      <c r="AL214" s="13">
        <f t="shared" si="39"/>
        <v>1</v>
      </c>
      <c r="AM214" s="15">
        <f t="shared" si="40"/>
        <v>0</v>
      </c>
      <c r="AN214" s="3">
        <f t="shared" si="41"/>
        <v>4</v>
      </c>
      <c r="AO214" s="3" t="str">
        <f t="shared" si="42"/>
        <v>No</v>
      </c>
      <c r="AP214" s="17" t="str">
        <f t="shared" si="43"/>
        <v/>
      </c>
      <c r="AQ214" s="17" t="str">
        <f t="shared" si="44"/>
        <v/>
      </c>
      <c r="AR214" s="17" t="str">
        <f t="shared" si="45"/>
        <v/>
      </c>
      <c r="AS214" s="15">
        <f t="shared" si="46"/>
        <v>4000000</v>
      </c>
      <c r="AT214" s="17">
        <f t="shared" si="47"/>
        <v>0.24</v>
      </c>
      <c r="AU214" s="17">
        <f t="shared" si="48"/>
        <v>0.20833333333333334</v>
      </c>
      <c r="AV214" s="15">
        <f t="shared" si="49"/>
        <v>500000</v>
      </c>
      <c r="AW214" s="18">
        <f t="shared" si="50"/>
        <v>0</v>
      </c>
      <c r="AX214" s="27" t="str">
        <f>IF(OR(K214&lt;Outlier_Audit!$H$2,K214&gt;Outlier_Audit!$I$2),"Review","Normal")</f>
        <v>Normal</v>
      </c>
      <c r="AY214" t="str">
        <f t="shared" si="51"/>
        <v>&lt;10 years</v>
      </c>
      <c r="AZ214" t="str">
        <f>IF(AQ214="","Missing",IF(AQ214&gt;=EDA_Performance!$B$7,"High Growth",IF(AQ214&lt;=EDA_Performance!$B$5,"Low Growth","Middle")))</f>
        <v>Missing</v>
      </c>
    </row>
    <row r="215" spans="1:52">
      <c r="A215" s="12">
        <v>1614718</v>
      </c>
      <c r="B215" s="3" t="s">
        <v>65</v>
      </c>
      <c r="C215" s="3" t="s">
        <v>66</v>
      </c>
      <c r="D215" s="13">
        <v>200</v>
      </c>
      <c r="E215" s="13">
        <v>2220</v>
      </c>
      <c r="F215" s="13">
        <v>22</v>
      </c>
      <c r="G215" s="3" t="s">
        <v>96</v>
      </c>
      <c r="H215" s="13">
        <v>2005</v>
      </c>
      <c r="I215" s="13">
        <v>23</v>
      </c>
      <c r="J215" s="14">
        <v>48.349552154541016</v>
      </c>
      <c r="K215" s="15">
        <v>5500000000</v>
      </c>
      <c r="L215" s="15">
        <v>4000000000</v>
      </c>
      <c r="M215" s="16">
        <v>80</v>
      </c>
      <c r="N215" s="13">
        <v>150</v>
      </c>
      <c r="O215" s="13">
        <v>120</v>
      </c>
      <c r="P215" s="15">
        <v>200000000</v>
      </c>
      <c r="Q215" s="15">
        <v>1000000000</v>
      </c>
      <c r="R215" s="15">
        <v>3000000000</v>
      </c>
      <c r="S215" s="16">
        <v>30</v>
      </c>
      <c r="T215" s="3" t="s">
        <v>52</v>
      </c>
      <c r="U215" s="3" t="s">
        <v>53</v>
      </c>
      <c r="V215" s="3" t="s">
        <v>53</v>
      </c>
      <c r="W215" s="16">
        <v>80</v>
      </c>
      <c r="X215" s="16">
        <v>0</v>
      </c>
      <c r="Y215" s="16">
        <v>0</v>
      </c>
      <c r="Z215" s="3" t="s">
        <v>53</v>
      </c>
      <c r="AA215" s="15"/>
      <c r="AB215" s="3" t="s">
        <v>52</v>
      </c>
      <c r="AC215" s="3" t="s">
        <v>53</v>
      </c>
      <c r="AD215" s="3" t="s">
        <v>52</v>
      </c>
      <c r="AE215" s="16">
        <v>4</v>
      </c>
      <c r="AF215" s="3" t="s">
        <v>54</v>
      </c>
      <c r="AG215" s="3" t="s">
        <v>62</v>
      </c>
      <c r="AH215" s="3" t="s">
        <v>67</v>
      </c>
      <c r="AI215" s="3" t="s">
        <v>54</v>
      </c>
      <c r="AJ215" s="3" t="s">
        <v>56</v>
      </c>
      <c r="AK215" s="3" t="s">
        <v>64</v>
      </c>
      <c r="AL215" s="13">
        <f t="shared" si="39"/>
        <v>19</v>
      </c>
      <c r="AM215" s="15">
        <f t="shared" si="40"/>
        <v>0</v>
      </c>
      <c r="AN215" s="3">
        <f t="shared" si="41"/>
        <v>4</v>
      </c>
      <c r="AO215" s="3" t="str">
        <f t="shared" si="42"/>
        <v>Yes</v>
      </c>
      <c r="AP215" s="17">
        <f t="shared" si="43"/>
        <v>0.375</v>
      </c>
      <c r="AQ215" s="17">
        <f t="shared" si="44"/>
        <v>0.17260393995585743</v>
      </c>
      <c r="AR215" s="17">
        <f t="shared" si="45"/>
        <v>0.25</v>
      </c>
      <c r="AS215" s="15">
        <f t="shared" si="46"/>
        <v>36666666.666666664</v>
      </c>
      <c r="AT215" s="17">
        <f t="shared" si="47"/>
        <v>3.6363636363636362E-2</v>
      </c>
      <c r="AU215" s="17">
        <f t="shared" si="48"/>
        <v>0.18181818181818182</v>
      </c>
      <c r="AV215" s="15">
        <f t="shared" si="49"/>
        <v>20000000</v>
      </c>
      <c r="AW215" s="18">
        <f t="shared" si="50"/>
        <v>0</v>
      </c>
      <c r="AX215" s="27" t="str">
        <f>IF(OR(K215&lt;Outlier_Audit!$H$2,K215&gt;Outlier_Audit!$I$2),"Review","Normal")</f>
        <v>Normal</v>
      </c>
      <c r="AY215" t="str">
        <f t="shared" si="51"/>
        <v>10-19 years</v>
      </c>
      <c r="AZ215" t="str">
        <f>IF(AQ215="","Missing",IF(AQ215&gt;=EDA_Performance!$B$7,"High Growth",IF(AQ215&lt;=EDA_Performance!$B$5,"Low Growth","Middle")))</f>
        <v>Middle</v>
      </c>
    </row>
    <row r="216" spans="1:52">
      <c r="A216" s="12">
        <v>1614720</v>
      </c>
      <c r="B216" s="3" t="s">
        <v>49</v>
      </c>
      <c r="C216" s="3" t="s">
        <v>66</v>
      </c>
      <c r="D216" s="13">
        <v>40</v>
      </c>
      <c r="E216" s="13">
        <v>1061</v>
      </c>
      <c r="F216" s="13">
        <v>10</v>
      </c>
      <c r="G216" s="3" t="s">
        <v>51</v>
      </c>
      <c r="H216" s="13">
        <v>2008</v>
      </c>
      <c r="I216" s="13">
        <v>17</v>
      </c>
      <c r="J216" s="14">
        <v>1.6103764772415161</v>
      </c>
      <c r="K216" s="15">
        <v>100000000</v>
      </c>
      <c r="L216" s="15">
        <v>84000000</v>
      </c>
      <c r="M216" s="16">
        <v>90</v>
      </c>
      <c r="N216" s="13">
        <v>20</v>
      </c>
      <c r="O216" s="13">
        <v>10</v>
      </c>
      <c r="P216" s="15">
        <v>18000000</v>
      </c>
      <c r="Q216" s="15">
        <v>30000000</v>
      </c>
      <c r="R216" s="15">
        <v>150000000</v>
      </c>
      <c r="S216" s="16">
        <v>0</v>
      </c>
      <c r="T216" s="3" t="s">
        <v>52</v>
      </c>
      <c r="U216" s="3" t="s">
        <v>53</v>
      </c>
      <c r="V216" s="3" t="s">
        <v>53</v>
      </c>
      <c r="W216" s="16">
        <v>70</v>
      </c>
      <c r="X216" s="16">
        <v>0</v>
      </c>
      <c r="Y216" s="16">
        <v>0</v>
      </c>
      <c r="Z216" s="3" t="s">
        <v>53</v>
      </c>
      <c r="AA216" s="15"/>
      <c r="AB216" s="3" t="s">
        <v>53</v>
      </c>
      <c r="AC216" s="3" t="s">
        <v>53</v>
      </c>
      <c r="AD216" s="3" t="s">
        <v>52</v>
      </c>
      <c r="AE216" s="16">
        <v>3</v>
      </c>
      <c r="AF216" s="3" t="s">
        <v>55</v>
      </c>
      <c r="AG216" s="3" t="s">
        <v>54</v>
      </c>
      <c r="AH216" s="3" t="s">
        <v>62</v>
      </c>
      <c r="AI216" s="3" t="s">
        <v>61</v>
      </c>
      <c r="AJ216" s="3" t="s">
        <v>79</v>
      </c>
      <c r="AK216" s="3" t="s">
        <v>64</v>
      </c>
      <c r="AL216" s="13">
        <f t="shared" si="39"/>
        <v>16</v>
      </c>
      <c r="AM216" s="15">
        <f t="shared" si="40"/>
        <v>0</v>
      </c>
      <c r="AN216" s="3">
        <f t="shared" si="41"/>
        <v>3</v>
      </c>
      <c r="AO216" s="3" t="str">
        <f t="shared" si="42"/>
        <v>No</v>
      </c>
      <c r="AP216" s="17">
        <f t="shared" si="43"/>
        <v>0.19047619047619047</v>
      </c>
      <c r="AQ216" s="17">
        <f t="shared" si="44"/>
        <v>9.1089451179961811E-2</v>
      </c>
      <c r="AR216" s="17">
        <f t="shared" si="45"/>
        <v>1</v>
      </c>
      <c r="AS216" s="15">
        <f t="shared" si="46"/>
        <v>5000000</v>
      </c>
      <c r="AT216" s="17">
        <f t="shared" si="47"/>
        <v>0.18</v>
      </c>
      <c r="AU216" s="17">
        <f t="shared" si="48"/>
        <v>0.3</v>
      </c>
      <c r="AV216" s="15">
        <f t="shared" si="49"/>
        <v>7500000</v>
      </c>
      <c r="AW216" s="18">
        <f t="shared" si="50"/>
        <v>0</v>
      </c>
      <c r="AX216" s="27" t="str">
        <f>IF(OR(K216&lt;Outlier_Audit!$H$2,K216&gt;Outlier_Audit!$I$2),"Review","Normal")</f>
        <v>Normal</v>
      </c>
      <c r="AY216" t="str">
        <f t="shared" si="51"/>
        <v>10-19 years</v>
      </c>
      <c r="AZ216" t="str">
        <f>IF(AQ216="","Missing",IF(AQ216&gt;=EDA_Performance!$B$7,"High Growth",IF(AQ216&lt;=EDA_Performance!$B$5,"Low Growth","Middle")))</f>
        <v>Middle</v>
      </c>
    </row>
    <row r="217" spans="1:52">
      <c r="A217" s="12">
        <v>1614721</v>
      </c>
      <c r="B217" s="3" t="s">
        <v>74</v>
      </c>
      <c r="C217" s="3" t="s">
        <v>66</v>
      </c>
      <c r="D217" s="13">
        <v>20</v>
      </c>
      <c r="E217" s="13">
        <v>1101</v>
      </c>
      <c r="F217" s="13">
        <v>11</v>
      </c>
      <c r="G217" s="3" t="s">
        <v>89</v>
      </c>
      <c r="H217" s="13">
        <v>2013</v>
      </c>
      <c r="I217" s="13"/>
      <c r="J217" s="14">
        <v>1.6504706144332886</v>
      </c>
      <c r="K217" s="15">
        <v>300000000</v>
      </c>
      <c r="L217" s="15">
        <v>280000000</v>
      </c>
      <c r="M217" s="16">
        <v>1</v>
      </c>
      <c r="N217" s="13">
        <v>20</v>
      </c>
      <c r="O217" s="13"/>
      <c r="P217" s="15">
        <v>96000000</v>
      </c>
      <c r="Q217" s="15">
        <v>190000000</v>
      </c>
      <c r="R217" s="15"/>
      <c r="S217" s="16">
        <v>0</v>
      </c>
      <c r="T217" s="3" t="s">
        <v>52</v>
      </c>
      <c r="U217" s="3" t="s">
        <v>53</v>
      </c>
      <c r="V217" s="3" t="s">
        <v>52</v>
      </c>
      <c r="W217" s="16">
        <v>100</v>
      </c>
      <c r="X217" s="16">
        <v>0</v>
      </c>
      <c r="Y217" s="16">
        <v>0</v>
      </c>
      <c r="Z217" s="3" t="s">
        <v>53</v>
      </c>
      <c r="AA217" s="15"/>
      <c r="AB217" s="3" t="s">
        <v>53</v>
      </c>
      <c r="AC217" s="3" t="s">
        <v>53</v>
      </c>
      <c r="AD217" s="3" t="s">
        <v>52</v>
      </c>
      <c r="AE217" s="16">
        <v>0</v>
      </c>
      <c r="AF217" s="3" t="s">
        <v>62</v>
      </c>
      <c r="AG217" s="3" t="s">
        <v>62</v>
      </c>
      <c r="AH217" s="3" t="s">
        <v>55</v>
      </c>
      <c r="AI217" s="3" t="s">
        <v>67</v>
      </c>
      <c r="AJ217" s="3" t="s">
        <v>87</v>
      </c>
      <c r="AK217" s="3" t="s">
        <v>75</v>
      </c>
      <c r="AL217" s="13">
        <f t="shared" si="39"/>
        <v>11</v>
      </c>
      <c r="AM217" s="15">
        <f t="shared" si="40"/>
        <v>0</v>
      </c>
      <c r="AN217" s="3">
        <f t="shared" si="41"/>
        <v>0</v>
      </c>
      <c r="AO217" s="3" t="str">
        <f t="shared" si="42"/>
        <v>No</v>
      </c>
      <c r="AP217" s="17">
        <f t="shared" si="43"/>
        <v>7.1428571428571397E-2</v>
      </c>
      <c r="AQ217" s="17">
        <f t="shared" si="44"/>
        <v>3.5098339013531321E-2</v>
      </c>
      <c r="AR217" s="17" t="str">
        <f t="shared" si="45"/>
        <v/>
      </c>
      <c r="AS217" s="15">
        <f t="shared" si="46"/>
        <v>15000000</v>
      </c>
      <c r="AT217" s="17">
        <f t="shared" si="47"/>
        <v>0.32</v>
      </c>
      <c r="AU217" s="17">
        <f t="shared" si="48"/>
        <v>0.6333333333333333</v>
      </c>
      <c r="AV217" s="15" t="str">
        <f t="shared" si="49"/>
        <v/>
      </c>
      <c r="AW217" s="18">
        <f t="shared" si="50"/>
        <v>0</v>
      </c>
      <c r="AX217" s="27" t="str">
        <f>IF(OR(K217&lt;Outlier_Audit!$H$2,K217&gt;Outlier_Audit!$I$2),"Review","Normal")</f>
        <v>Normal</v>
      </c>
      <c r="AY217" t="str">
        <f t="shared" si="51"/>
        <v>10-19 years</v>
      </c>
      <c r="AZ217" t="str">
        <f>IF(AQ217="","Missing",IF(AQ217&gt;=EDA_Performance!$B$7,"High Growth",IF(AQ217&lt;=EDA_Performance!$B$5,"Low Growth","Middle")))</f>
        <v>Low Growth</v>
      </c>
    </row>
    <row r="218" spans="1:52">
      <c r="A218" s="19">
        <v>1614723</v>
      </c>
      <c r="B218" s="20" t="s">
        <v>80</v>
      </c>
      <c r="C218" s="20" t="s">
        <v>58</v>
      </c>
      <c r="D218" s="21">
        <v>5</v>
      </c>
      <c r="E218" s="21">
        <v>1061</v>
      </c>
      <c r="F218" s="21">
        <v>10</v>
      </c>
      <c r="G218" s="20" t="s">
        <v>51</v>
      </c>
      <c r="H218" s="21">
        <v>2020</v>
      </c>
      <c r="I218" s="21">
        <v>4</v>
      </c>
      <c r="J218" s="22">
        <v>1.6450884342193604</v>
      </c>
      <c r="K218" s="23">
        <v>24000000</v>
      </c>
      <c r="L218" s="23">
        <v>20000000</v>
      </c>
      <c r="M218" s="24">
        <v>100</v>
      </c>
      <c r="N218" s="21">
        <v>5</v>
      </c>
      <c r="O218" s="21">
        <v>5</v>
      </c>
      <c r="P218" s="23">
        <v>9000000</v>
      </c>
      <c r="Q218" s="23">
        <v>2000000</v>
      </c>
      <c r="R218" s="23">
        <v>4000000</v>
      </c>
      <c r="S218" s="24">
        <v>0</v>
      </c>
      <c r="T218" s="20" t="s">
        <v>60</v>
      </c>
      <c r="U218" s="20" t="s">
        <v>53</v>
      </c>
      <c r="V218" s="20" t="s">
        <v>53</v>
      </c>
      <c r="W218" s="24">
        <v>95</v>
      </c>
      <c r="X218" s="24">
        <v>0</v>
      </c>
      <c r="Y218" s="24">
        <v>5</v>
      </c>
      <c r="Z218" s="20" t="s">
        <v>53</v>
      </c>
      <c r="AA218" s="23"/>
      <c r="AB218" s="20" t="s">
        <v>53</v>
      </c>
      <c r="AC218" s="20" t="s">
        <v>53</v>
      </c>
      <c r="AD218" s="20" t="s">
        <v>52</v>
      </c>
      <c r="AE218" s="24">
        <v>5</v>
      </c>
      <c r="AF218" s="20" t="s">
        <v>67</v>
      </c>
      <c r="AG218" s="20" t="s">
        <v>67</v>
      </c>
      <c r="AH218" s="20" t="s">
        <v>67</v>
      </c>
      <c r="AI218" s="20" t="s">
        <v>62</v>
      </c>
      <c r="AJ218" s="20" t="s">
        <v>56</v>
      </c>
      <c r="AK218" s="20" t="s">
        <v>57</v>
      </c>
      <c r="AL218" s="21">
        <f t="shared" si="39"/>
        <v>4</v>
      </c>
      <c r="AM218" s="23">
        <f t="shared" si="40"/>
        <v>0</v>
      </c>
      <c r="AN218" s="20">
        <f t="shared" si="41"/>
        <v>5</v>
      </c>
      <c r="AO218" s="20" t="str">
        <f t="shared" si="42"/>
        <v>No</v>
      </c>
      <c r="AP218" s="25">
        <f t="shared" si="43"/>
        <v>0.19999999999999996</v>
      </c>
      <c r="AQ218" s="25">
        <f t="shared" si="44"/>
        <v>9.5445115010332149E-2</v>
      </c>
      <c r="AR218" s="25">
        <f t="shared" si="45"/>
        <v>0</v>
      </c>
      <c r="AS218" s="23">
        <f t="shared" si="46"/>
        <v>4800000</v>
      </c>
      <c r="AT218" s="25">
        <f t="shared" si="47"/>
        <v>0.375</v>
      </c>
      <c r="AU218" s="25">
        <f t="shared" si="48"/>
        <v>8.3333333333333329E-2</v>
      </c>
      <c r="AV218" s="23">
        <f t="shared" si="49"/>
        <v>800000</v>
      </c>
      <c r="AW218" s="26">
        <f t="shared" si="50"/>
        <v>0</v>
      </c>
      <c r="AX218" s="27" t="str">
        <f>IF(OR(K218&lt;Outlier_Audit!$H$2,K218&gt;Outlier_Audit!$I$2),"Review","Normal")</f>
        <v>Normal</v>
      </c>
      <c r="AY218" t="str">
        <f t="shared" si="51"/>
        <v>&lt;10 years</v>
      </c>
      <c r="AZ218" t="str">
        <f>IF(AQ218="","Missing",IF(AQ218&gt;=EDA_Performance!$B$7,"High Growth",IF(AQ218&lt;=EDA_Performance!$B$5,"Low Growth","Middle")))</f>
        <v>Middle</v>
      </c>
    </row>
  </sheetData>
  <conditionalFormatting sqref="A2:A218">
    <cfRule type="duplicateValues" dxfId="0" priority="1"/>
  </conditionalFormatting>
  <conditionalFormatting sqref="AP2:AR2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3C62-4EE8-453D-A113-0F42CDB65CEA}">
  <dimension ref="A1:F9"/>
  <sheetViews>
    <sheetView workbookViewId="0">
      <selection activeCell="C13" sqref="C13"/>
    </sheetView>
  </sheetViews>
  <sheetFormatPr defaultRowHeight="13.8"/>
  <cols>
    <col min="2" max="2" width="31.5" bestFit="1" customWidth="1"/>
    <col min="3" max="3" width="40.796875" bestFit="1" customWidth="1"/>
    <col min="4" max="4" width="15.09765625" customWidth="1"/>
    <col min="5" max="5" width="17.5" customWidth="1"/>
    <col min="6" max="6" width="9.69921875" bestFit="1" customWidth="1"/>
  </cols>
  <sheetData>
    <row r="1" spans="1: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</row>
    <row r="2" spans="1:6">
      <c r="A2">
        <v>2</v>
      </c>
      <c r="B2">
        <f>ROWS(Clean_Working!K$2:K$218)</f>
        <v>217</v>
      </c>
      <c r="C2">
        <f>COUNTBLANK(Clean_Working!K$2:K$218)</f>
        <v>14</v>
      </c>
      <c r="D2">
        <f>B2-C2</f>
        <v>203</v>
      </c>
      <c r="E2" s="5">
        <f>D2/B2</f>
        <v>0.93548387096774188</v>
      </c>
      <c r="F2" t="str">
        <f>IF(E2&gt;=95%,"High",IF(E2&gt;=80%,"Acceptable","Review"))</f>
        <v>Acceptable</v>
      </c>
    </row>
    <row r="3" spans="1:6">
      <c r="A3">
        <v>3</v>
      </c>
      <c r="B3">
        <f>ROWS(Clean_Working!K$2:K$218)</f>
        <v>217</v>
      </c>
      <c r="C3">
        <f>COUNTBLANK(Clean_Working!L$2:L$218)</f>
        <v>30</v>
      </c>
      <c r="D3">
        <f t="shared" ref="D3:D9" si="0">B3-C3</f>
        <v>187</v>
      </c>
      <c r="E3" s="5">
        <f t="shared" ref="E3:E9" si="1">D3/B3</f>
        <v>0.86175115207373276</v>
      </c>
      <c r="F3" t="str">
        <f t="shared" ref="F3:F9" si="2">IF(E3&gt;=95%,"High",IF(E3&gt;=80%,"Acceptable","Review"))</f>
        <v>Acceptable</v>
      </c>
    </row>
    <row r="4" spans="1:6">
      <c r="A4">
        <v>4</v>
      </c>
      <c r="B4">
        <f>ROWS(Clean_Working!K$2:K$218)</f>
        <v>217</v>
      </c>
      <c r="C4">
        <f>COUNTBLANK(Clean_Working!M$2:M$218)</f>
        <v>6</v>
      </c>
      <c r="D4">
        <f t="shared" si="0"/>
        <v>211</v>
      </c>
      <c r="E4" s="5">
        <f t="shared" si="1"/>
        <v>0.97235023041474655</v>
      </c>
      <c r="F4" t="str">
        <f t="shared" si="2"/>
        <v>High</v>
      </c>
    </row>
    <row r="5" spans="1:6">
      <c r="A5">
        <v>5</v>
      </c>
      <c r="B5">
        <f>ROWS(Clean_Working!K$2:K$218)</f>
        <v>217</v>
      </c>
      <c r="C5">
        <f>COUNTBLANK(Clean_Working!N$2:N$218)</f>
        <v>0</v>
      </c>
      <c r="D5">
        <f t="shared" si="0"/>
        <v>217</v>
      </c>
      <c r="E5" s="5">
        <f t="shared" si="1"/>
        <v>1</v>
      </c>
      <c r="F5" t="str">
        <f t="shared" si="2"/>
        <v>High</v>
      </c>
    </row>
    <row r="6" spans="1:6">
      <c r="A6">
        <v>6</v>
      </c>
      <c r="B6">
        <f>ROWS(Clean_Working!K$2:K$218)</f>
        <v>217</v>
      </c>
      <c r="C6">
        <f>COUNTBLANK(Clean_Working!O$2:O$218)</f>
        <v>7</v>
      </c>
      <c r="D6">
        <f t="shared" si="0"/>
        <v>210</v>
      </c>
      <c r="E6" s="5">
        <f t="shared" si="1"/>
        <v>0.967741935483871</v>
      </c>
      <c r="F6" t="str">
        <f t="shared" si="2"/>
        <v>High</v>
      </c>
    </row>
    <row r="7" spans="1:6">
      <c r="A7">
        <v>7</v>
      </c>
      <c r="B7">
        <f>ROWS(Clean_Working!K$2:K$218)</f>
        <v>217</v>
      </c>
      <c r="C7">
        <f>COUNTBLANK(Clean_Working!P$2:P$218)</f>
        <v>23</v>
      </c>
      <c r="D7">
        <f t="shared" si="0"/>
        <v>194</v>
      </c>
      <c r="E7" s="5">
        <f t="shared" si="1"/>
        <v>0.89400921658986177</v>
      </c>
      <c r="F7" t="str">
        <f t="shared" si="2"/>
        <v>Acceptable</v>
      </c>
    </row>
    <row r="8" spans="1:6">
      <c r="A8">
        <v>8</v>
      </c>
      <c r="B8">
        <f>ROWS(Clean_Working!K$2:K$218)</f>
        <v>217</v>
      </c>
      <c r="C8">
        <f>COUNTBLANK(Clean_Working!Q$2:Q$218)</f>
        <v>27</v>
      </c>
      <c r="D8">
        <f t="shared" si="0"/>
        <v>190</v>
      </c>
      <c r="E8" s="5">
        <f t="shared" si="1"/>
        <v>0.87557603686635943</v>
      </c>
      <c r="F8" t="str">
        <f t="shared" si="2"/>
        <v>Acceptable</v>
      </c>
    </row>
    <row r="9" spans="1:6">
      <c r="A9">
        <v>9</v>
      </c>
      <c r="B9">
        <f>ROWS(Clean_Working!K$2:K$218)</f>
        <v>217</v>
      </c>
      <c r="C9">
        <f>COUNTBLANK(Clean_Working!R$2:R$218)</f>
        <v>22</v>
      </c>
      <c r="D9">
        <f t="shared" si="0"/>
        <v>195</v>
      </c>
      <c r="E9" s="5">
        <f t="shared" si="1"/>
        <v>0.89861751152073732</v>
      </c>
      <c r="F9" t="str">
        <f t="shared" si="2"/>
        <v>Acceptable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4F3F-0CD8-40EA-9397-B16CDF10F1D8}">
  <dimension ref="A1:H15"/>
  <sheetViews>
    <sheetView workbookViewId="0">
      <selection activeCell="E23" sqref="E23"/>
    </sheetView>
  </sheetViews>
  <sheetFormatPr defaultRowHeight="13.8"/>
  <cols>
    <col min="1" max="1" width="31.59765625" bestFit="1" customWidth="1"/>
    <col min="2" max="2" width="9.3984375" customWidth="1"/>
    <col min="3" max="3" width="15.796875" customWidth="1"/>
    <col min="4" max="4" width="11.5" customWidth="1"/>
    <col min="5" max="5" width="10.796875" customWidth="1"/>
    <col min="6" max="6" width="10" customWidth="1"/>
    <col min="7" max="7" width="13.19921875" customWidth="1"/>
    <col min="8" max="8" width="14.3984375" customWidth="1"/>
  </cols>
  <sheetData>
    <row r="1" spans="1:8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</row>
    <row r="2" spans="1:8">
      <c r="A2" t="s">
        <v>7</v>
      </c>
      <c r="B2" t="s">
        <v>276</v>
      </c>
      <c r="C2" t="s">
        <v>285</v>
      </c>
      <c r="E2">
        <f>COUNTA(Clean_Working!H$2:H$218)</f>
        <v>216</v>
      </c>
      <c r="F2">
        <f>COUNT(Clean_Working!H$2:H$218)</f>
        <v>216</v>
      </c>
      <c r="G2">
        <f>E2-F2</f>
        <v>0</v>
      </c>
      <c r="H2">
        <f>COUNTIF(Clean_Working!H$2:H$218,"&lt;=0")+COUNTIF(Clean_Working!H$2:H$218,"&gt;2024")</f>
        <v>0</v>
      </c>
    </row>
    <row r="3" spans="1:8">
      <c r="A3" t="s">
        <v>8</v>
      </c>
      <c r="B3" t="s">
        <v>286</v>
      </c>
      <c r="C3" t="s">
        <v>287</v>
      </c>
      <c r="E3">
        <f>COUNTA(Clean_Working!H$2:H$218)</f>
        <v>216</v>
      </c>
      <c r="F3">
        <f>COUNT(Clean_Working!H$2:H$218)</f>
        <v>216</v>
      </c>
      <c r="G3">
        <f t="shared" ref="G3:G15" si="0">E3-F3</f>
        <v>0</v>
      </c>
      <c r="H3">
        <f>COUNTIF(Clean_Working!H$2:H$218,"&lt;=0")+COUNTIF(Clean_Working!H$2:H$218,"&gt;2024")</f>
        <v>0</v>
      </c>
    </row>
    <row r="4" spans="1:8">
      <c r="A4" t="s">
        <v>10</v>
      </c>
      <c r="B4" t="s">
        <v>268</v>
      </c>
      <c r="C4" t="s">
        <v>288</v>
      </c>
      <c r="E4">
        <f>COUNTA(Clean_Working!H$2:H$218)</f>
        <v>216</v>
      </c>
      <c r="F4">
        <f>COUNT(Clean_Working!H$2:H$218)</f>
        <v>216</v>
      </c>
      <c r="G4">
        <f t="shared" si="0"/>
        <v>0</v>
      </c>
      <c r="H4">
        <f>COUNTIF(Clean_Working!H$2:H$218,"&lt;=0")+COUNTIF(Clean_Working!H$2:H$218,"&gt;2024")</f>
        <v>0</v>
      </c>
    </row>
    <row r="5" spans="1:8">
      <c r="A5" t="s">
        <v>11</v>
      </c>
      <c r="B5" t="s">
        <v>269</v>
      </c>
      <c r="C5" t="s">
        <v>288</v>
      </c>
      <c r="E5">
        <f>COUNTA(Clean_Working!H$2:H$218)</f>
        <v>216</v>
      </c>
      <c r="F5">
        <f>COUNT(Clean_Working!H$2:H$218)</f>
        <v>216</v>
      </c>
      <c r="G5">
        <f t="shared" si="0"/>
        <v>0</v>
      </c>
      <c r="H5">
        <f>COUNTIF(Clean_Working!H$2:H$218,"&lt;=0")+COUNTIF(Clean_Working!H$2:H$218,"&gt;2024")</f>
        <v>0</v>
      </c>
    </row>
    <row r="6" spans="1:8">
      <c r="A6" t="s">
        <v>12</v>
      </c>
      <c r="B6" t="s">
        <v>270</v>
      </c>
      <c r="C6" t="s">
        <v>289</v>
      </c>
      <c r="E6">
        <f>COUNTA(Clean_Working!H$2:H$218)</f>
        <v>216</v>
      </c>
      <c r="F6">
        <f>COUNT(Clean_Working!H$2:H$218)</f>
        <v>216</v>
      </c>
      <c r="G6">
        <f t="shared" si="0"/>
        <v>0</v>
      </c>
      <c r="H6">
        <f>COUNTIF(Clean_Working!H$2:H$218,"&lt;=0")+COUNTIF(Clean_Working!H$2:H$218,"&gt;2024")</f>
        <v>0</v>
      </c>
    </row>
    <row r="7" spans="1:8">
      <c r="A7" t="s">
        <v>13</v>
      </c>
      <c r="B7" t="s">
        <v>271</v>
      </c>
      <c r="C7" t="s">
        <v>288</v>
      </c>
      <c r="E7">
        <f>COUNTA(Clean_Working!H$2:H$218)</f>
        <v>216</v>
      </c>
      <c r="F7">
        <f>COUNT(Clean_Working!H$2:H$218)</f>
        <v>216</v>
      </c>
      <c r="G7">
        <f t="shared" si="0"/>
        <v>0</v>
      </c>
      <c r="H7">
        <f>COUNTIF(Clean_Working!H$2:H$218,"&lt;=0")+COUNTIF(Clean_Working!H$2:H$218,"&gt;2024")</f>
        <v>0</v>
      </c>
    </row>
    <row r="8" spans="1:8">
      <c r="A8" t="s">
        <v>14</v>
      </c>
      <c r="B8" t="s">
        <v>272</v>
      </c>
      <c r="C8" t="s">
        <v>288</v>
      </c>
      <c r="E8">
        <f>COUNTA(Clean_Working!H$2:H$218)</f>
        <v>216</v>
      </c>
      <c r="F8">
        <f>COUNT(Clean_Working!H$2:H$218)</f>
        <v>216</v>
      </c>
      <c r="G8">
        <f t="shared" si="0"/>
        <v>0</v>
      </c>
      <c r="H8">
        <f>COUNTIF(Clean_Working!H$2:H$218,"&lt;=0")+COUNTIF(Clean_Working!H$2:H$218,"&gt;2024")</f>
        <v>0</v>
      </c>
    </row>
    <row r="9" spans="1:8">
      <c r="A9" t="s">
        <v>15</v>
      </c>
      <c r="B9" t="s">
        <v>273</v>
      </c>
      <c r="C9" t="s">
        <v>288</v>
      </c>
      <c r="E9">
        <f>COUNTA(Clean_Working!H$2:H$218)</f>
        <v>216</v>
      </c>
      <c r="F9">
        <f>COUNT(Clean_Working!H$2:H$218)</f>
        <v>216</v>
      </c>
      <c r="G9">
        <f t="shared" si="0"/>
        <v>0</v>
      </c>
      <c r="H9">
        <f>COUNTIF(Clean_Working!H$2:H$218,"&lt;=0")+COUNTIF(Clean_Working!H$2:H$218,"&gt;2024")</f>
        <v>0</v>
      </c>
    </row>
    <row r="10" spans="1:8">
      <c r="A10" t="s">
        <v>16</v>
      </c>
      <c r="B10" t="s">
        <v>274</v>
      </c>
      <c r="C10" t="s">
        <v>288</v>
      </c>
      <c r="E10">
        <f>COUNTA(Clean_Working!H$2:H$218)</f>
        <v>216</v>
      </c>
      <c r="F10">
        <f>COUNT(Clean_Working!H$2:H$218)</f>
        <v>216</v>
      </c>
      <c r="G10">
        <f t="shared" si="0"/>
        <v>0</v>
      </c>
      <c r="H10">
        <f>COUNTIF(Clean_Working!H$2:H$218,"&lt;=0")+COUNTIF(Clean_Working!H$2:H$218,"&gt;2024")</f>
        <v>0</v>
      </c>
    </row>
    <row r="11" spans="1:8">
      <c r="A11" t="s">
        <v>17</v>
      </c>
      <c r="B11" t="s">
        <v>275</v>
      </c>
      <c r="C11" t="s">
        <v>288</v>
      </c>
      <c r="E11">
        <f>COUNTA(Clean_Working!H$2:H$218)</f>
        <v>216</v>
      </c>
      <c r="F11">
        <f>COUNT(Clean_Working!H$2:H$218)</f>
        <v>216</v>
      </c>
      <c r="G11">
        <f t="shared" si="0"/>
        <v>0</v>
      </c>
      <c r="H11">
        <f>COUNTIF(Clean_Working!H$2:H$218,"&lt;=0")+COUNTIF(Clean_Working!H$2:H$218,"&gt;2024")</f>
        <v>0</v>
      </c>
    </row>
    <row r="12" spans="1:8">
      <c r="A12" t="s">
        <v>18</v>
      </c>
      <c r="B12" t="s">
        <v>290</v>
      </c>
      <c r="C12" t="s">
        <v>289</v>
      </c>
      <c r="E12">
        <f>COUNTA(Clean_Working!H$2:H$218)</f>
        <v>216</v>
      </c>
      <c r="F12">
        <f>COUNT(Clean_Working!H$2:H$218)</f>
        <v>216</v>
      </c>
      <c r="G12">
        <f t="shared" si="0"/>
        <v>0</v>
      </c>
      <c r="H12">
        <f>COUNTIF(Clean_Working!H$2:H$218,"&lt;=0")+COUNTIF(Clean_Working!H$2:H$218,"&gt;2024")</f>
        <v>0</v>
      </c>
    </row>
    <row r="13" spans="1:8">
      <c r="A13" t="s">
        <v>22</v>
      </c>
      <c r="B13" t="s">
        <v>291</v>
      </c>
      <c r="C13" t="s">
        <v>289</v>
      </c>
      <c r="E13">
        <f>COUNTA(Clean_Working!H$2:H$218)</f>
        <v>216</v>
      </c>
      <c r="F13">
        <f>COUNT(Clean_Working!H$2:H$218)</f>
        <v>216</v>
      </c>
      <c r="G13">
        <f t="shared" si="0"/>
        <v>0</v>
      </c>
      <c r="H13">
        <f>COUNTIF(Clean_Working!H$2:H$218,"&lt;=0")+COUNTIF(Clean_Working!H$2:H$218,"&gt;2024")</f>
        <v>0</v>
      </c>
    </row>
    <row r="14" spans="1:8">
      <c r="A14" t="s">
        <v>23</v>
      </c>
      <c r="B14" t="s">
        <v>292</v>
      </c>
      <c r="C14" t="s">
        <v>289</v>
      </c>
      <c r="E14">
        <f>COUNTA(Clean_Working!H$2:H$218)</f>
        <v>216</v>
      </c>
      <c r="F14">
        <f>COUNT(Clean_Working!H$2:H$218)</f>
        <v>216</v>
      </c>
      <c r="G14">
        <f t="shared" si="0"/>
        <v>0</v>
      </c>
      <c r="H14">
        <f>COUNTIF(Clean_Working!H$2:H$218,"&lt;=0")+COUNTIF(Clean_Working!H$2:H$218,"&gt;2024")</f>
        <v>0</v>
      </c>
    </row>
    <row r="15" spans="1:8">
      <c r="A15" t="s">
        <v>24</v>
      </c>
      <c r="B15" t="s">
        <v>293</v>
      </c>
      <c r="C15" t="s">
        <v>289</v>
      </c>
      <c r="E15">
        <f>COUNTA(Clean_Working!H$2:H$218)</f>
        <v>216</v>
      </c>
      <c r="F15">
        <f>COUNT(Clean_Working!H$2:H$218)</f>
        <v>216</v>
      </c>
      <c r="G15">
        <f t="shared" si="0"/>
        <v>0</v>
      </c>
      <c r="H15">
        <f>COUNTIF(Clean_Working!H$2:H$218,"&lt;=0")+COUNTIF(Clean_Working!H$2:H$218,"&gt;2024")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0E3D-A907-464B-A877-EB6B7F065EB5}">
  <dimension ref="A1:J9"/>
  <sheetViews>
    <sheetView workbookViewId="0">
      <selection activeCell="F12" sqref="F12"/>
    </sheetView>
  </sheetViews>
  <sheetFormatPr defaultRowHeight="13.8"/>
  <cols>
    <col min="1" max="1" width="25.59765625" bestFit="1" customWidth="1"/>
    <col min="2" max="2" width="10.69921875" customWidth="1"/>
    <col min="4" max="5" width="10.8984375" bestFit="1" customWidth="1"/>
    <col min="6" max="6" width="16" bestFit="1" customWidth="1"/>
    <col min="7" max="7" width="10.8984375" bestFit="1" customWidth="1"/>
    <col min="8" max="8" width="14.296875" customWidth="1"/>
    <col min="9" max="9" width="14.09765625" customWidth="1"/>
    <col min="10" max="10" width="14.19921875" customWidth="1"/>
  </cols>
  <sheetData>
    <row r="1" spans="1:10">
      <c r="A1" s="46" t="s">
        <v>262</v>
      </c>
      <c r="B1" s="47" t="s">
        <v>325</v>
      </c>
      <c r="C1" s="47" t="s">
        <v>326</v>
      </c>
      <c r="D1" s="47" t="s">
        <v>327</v>
      </c>
      <c r="E1" s="47" t="s">
        <v>328</v>
      </c>
      <c r="F1" s="47" t="s">
        <v>329</v>
      </c>
      <c r="G1" s="47" t="s">
        <v>330</v>
      </c>
      <c r="H1" s="47" t="s">
        <v>331</v>
      </c>
      <c r="I1" s="47" t="s">
        <v>332</v>
      </c>
      <c r="J1" s="48" t="s">
        <v>333</v>
      </c>
    </row>
    <row r="2" spans="1:10">
      <c r="A2" s="44" t="s">
        <v>334</v>
      </c>
      <c r="B2" s="33">
        <f>MIN(Clean_Working!K$2:K$218)</f>
        <v>2000000</v>
      </c>
      <c r="C2" s="32">
        <f>_xlfn.QUARTILE.INC(Clean_Working!K$2:K$218,1)</f>
        <v>43500000</v>
      </c>
      <c r="D2" s="33">
        <f>MEDIAN(Clean_Working!K$2:K$218)</f>
        <v>217920000</v>
      </c>
      <c r="E2" s="32">
        <f>_xlfn.QUARTILE.INC(Clean_Working!K$2:K$218,3)</f>
        <v>3000000000</v>
      </c>
      <c r="F2" s="33">
        <f>MAX(Clean_Working!K$2:K$218)</f>
        <v>6000000000000</v>
      </c>
      <c r="G2" s="32">
        <f>E2-C2</f>
        <v>2956500000</v>
      </c>
      <c r="H2" s="32">
        <f>C2-(1.5*G2)</f>
        <v>-4391250000</v>
      </c>
      <c r="I2" s="32">
        <f>E2+(1.5*G2)</f>
        <v>7434750000</v>
      </c>
      <c r="J2" s="45">
        <f>COUNTIF(Clean_Working!K$2:K$218,"&lt;"&amp;H2)+COUNTIF(Clean_Working!K$2:K$218,"&gt;"&amp;I2)</f>
        <v>36</v>
      </c>
    </row>
    <row r="3" spans="1:10">
      <c r="A3" s="44" t="s">
        <v>335</v>
      </c>
      <c r="B3" s="34">
        <f>MIN(Clean_Working!N$2:N$218)</f>
        <v>1</v>
      </c>
      <c r="C3" s="32">
        <f>_xlfn.QUARTILE.INC(Clean_Working!N$2:N$218,1)</f>
        <v>6</v>
      </c>
      <c r="D3" s="34">
        <f>MEDIAN(Clean_Working!N$2:N$218)</f>
        <v>14</v>
      </c>
      <c r="E3" s="32">
        <f>_xlfn.QUARTILE.INC(Clean_Working!N$2:N$218,3)</f>
        <v>80</v>
      </c>
      <c r="F3" s="34">
        <f>MAX(Clean_Working!N$2:N$218)</f>
        <v>2000</v>
      </c>
      <c r="G3" s="32">
        <f t="shared" ref="G3:G9" si="0">E3-C3</f>
        <v>74</v>
      </c>
      <c r="H3" s="32">
        <f t="shared" ref="H3:H9" si="1">C3-(1.5*G3)</f>
        <v>-105</v>
      </c>
      <c r="I3" s="32">
        <f t="shared" ref="I3:I9" si="2">E3+(1.5*G3)</f>
        <v>191</v>
      </c>
      <c r="J3" s="45">
        <f>COUNTIF(Clean_Working!K$2:K$218,"&lt;"&amp;H3)+COUNTIF(Clean_Working!K$2:K$218,"&gt;"&amp;I3)</f>
        <v>203</v>
      </c>
    </row>
    <row r="4" spans="1:10">
      <c r="A4" s="44" t="s">
        <v>336</v>
      </c>
      <c r="B4" s="33">
        <f>MIN(Clean_Working!P$2:P$218)</f>
        <v>1000000</v>
      </c>
      <c r="C4" s="32">
        <f>_xlfn.QUARTILE.INC(Clean_Working!P$2:P$218,1)</f>
        <v>11700000</v>
      </c>
      <c r="D4" s="33">
        <f>MEDIAN(Clean_Working!P$2:P$218)</f>
        <v>40400000</v>
      </c>
      <c r="E4" s="32">
        <f>_xlfn.QUARTILE.INC(Clean_Working!P$2:P$218,3)</f>
        <v>395000000</v>
      </c>
      <c r="F4" s="33">
        <f>MAX(Clean_Working!P$2:P$218)</f>
        <v>1000000000000</v>
      </c>
      <c r="G4" s="32">
        <f t="shared" si="0"/>
        <v>383300000</v>
      </c>
      <c r="H4" s="32">
        <f t="shared" si="1"/>
        <v>-563250000</v>
      </c>
      <c r="I4" s="32">
        <f t="shared" si="2"/>
        <v>969950000</v>
      </c>
      <c r="J4" s="45">
        <f>COUNTIF(Clean_Working!K$2:K$218,"&lt;"&amp;H4)+COUNTIF(Clean_Working!K$2:K$218,"&gt;"&amp;I4)</f>
        <v>68</v>
      </c>
    </row>
    <row r="5" spans="1:10">
      <c r="A5" s="44" t="s">
        <v>337</v>
      </c>
      <c r="B5" s="33">
        <f>MIN(Clean_Working!Q$2:Q$218)</f>
        <v>0</v>
      </c>
      <c r="C5" s="32">
        <f>_xlfn.QUARTILE.INC(Clean_Working!Q$2:Q$218,1)</f>
        <v>15250000</v>
      </c>
      <c r="D5" s="33">
        <f>MEDIAN(Clean_Working!Q$2:Q$218)</f>
        <v>60000000</v>
      </c>
      <c r="E5" s="32">
        <f>_xlfn.QUARTILE.INC(Clean_Working!Q$2:Q$218,3)</f>
        <v>500000000</v>
      </c>
      <c r="F5" s="33">
        <f>MAX(Clean_Working!Q$2:Q$218)</f>
        <v>3000000000000</v>
      </c>
      <c r="G5" s="32">
        <f t="shared" si="0"/>
        <v>484750000</v>
      </c>
      <c r="H5" s="32">
        <f t="shared" si="1"/>
        <v>-711875000</v>
      </c>
      <c r="I5" s="32">
        <f t="shared" si="2"/>
        <v>1227125000</v>
      </c>
      <c r="J5" s="45">
        <f>COUNTIF(Clean_Working!K$2:K$218,"&lt;"&amp;H5)+COUNTIF(Clean_Working!K$2:K$218,"&gt;"&amp;I5)</f>
        <v>62</v>
      </c>
    </row>
    <row r="6" spans="1:10">
      <c r="A6" s="44" t="s">
        <v>338</v>
      </c>
      <c r="B6" s="33">
        <f>MIN(Clean_Working!R$2:R$218)</f>
        <v>400000</v>
      </c>
      <c r="C6" s="32">
        <f>_xlfn.QUARTILE.INC(Clean_Working!R$2:R$218,1)</f>
        <v>35700000</v>
      </c>
      <c r="D6" s="33">
        <f>MEDIAN(Clean_Working!R$2:R$218)</f>
        <v>170000000</v>
      </c>
      <c r="E6" s="32">
        <f>_xlfn.QUARTILE.INC(Clean_Working!R$2:R$218,3)</f>
        <v>1675000000</v>
      </c>
      <c r="F6" s="33">
        <f>MAX(Clean_Working!R$2:R$218)</f>
        <v>1000000000000</v>
      </c>
      <c r="G6" s="32">
        <f t="shared" si="0"/>
        <v>1639300000</v>
      </c>
      <c r="H6" s="32">
        <f t="shared" si="1"/>
        <v>-2423250000</v>
      </c>
      <c r="I6" s="32">
        <f t="shared" si="2"/>
        <v>4133950000</v>
      </c>
      <c r="J6" s="45">
        <f>COUNTIF(Clean_Working!K$2:K$218,"&lt;"&amp;H6)+COUNTIF(Clean_Working!K$2:K$218,"&gt;"&amp;I6)</f>
        <v>46</v>
      </c>
    </row>
    <row r="7" spans="1:10">
      <c r="A7" s="44" t="s">
        <v>339</v>
      </c>
      <c r="B7" s="33">
        <f>MIN(Clean_Working!AM$2:AM$218)</f>
        <v>0</v>
      </c>
      <c r="C7" s="32">
        <f>_xlfn.QUARTILE.INC(Clean_Working!AM$2:AM$218,1)</f>
        <v>0</v>
      </c>
      <c r="D7" s="33">
        <f>MEDIAN(Clean_Working!AM$2:AM$218)</f>
        <v>0</v>
      </c>
      <c r="E7" s="32">
        <f>_xlfn.QUARTILE.INC(Clean_Working!AM$2:AM$218,3)</f>
        <v>0</v>
      </c>
      <c r="F7" s="33">
        <f>MAX(Clean_Working!AM$2:AM$218)</f>
        <v>1000000000000</v>
      </c>
      <c r="G7" s="32">
        <f t="shared" si="0"/>
        <v>0</v>
      </c>
      <c r="H7" s="32">
        <f t="shared" si="1"/>
        <v>0</v>
      </c>
      <c r="I7" s="32">
        <f t="shared" si="2"/>
        <v>0</v>
      </c>
      <c r="J7" s="45">
        <f>COUNTIF(Clean_Working!K$2:K$218,"&lt;"&amp;H7)+COUNTIF(Clean_Working!K$2:K$218,"&gt;"&amp;I7)</f>
        <v>203</v>
      </c>
    </row>
    <row r="8" spans="1:10">
      <c r="A8" s="44" t="s">
        <v>340</v>
      </c>
      <c r="B8" s="33">
        <f>MIN(Clean_Working!AS$2:AS$218)</f>
        <v>68702.290076335878</v>
      </c>
      <c r="C8" s="32">
        <f>_xlfn.QUARTILE.INC(Clean_Working!AS$2:AS$218,1)</f>
        <v>5000000</v>
      </c>
      <c r="D8" s="33">
        <f>MEDIAN(Clean_Working!AS$2:AS$218)</f>
        <v>14150943.396226415</v>
      </c>
      <c r="E8" s="32">
        <f>_xlfn.QUARTILE.INC(Clean_Working!AS$2:AS$218,3)</f>
        <v>48782608.695652172</v>
      </c>
      <c r="F8" s="33">
        <f>MAX(Clean_Working!AS$2:AS$218)</f>
        <v>4140000000</v>
      </c>
      <c r="G8" s="32">
        <f t="shared" si="0"/>
        <v>43782608.695652172</v>
      </c>
      <c r="H8" s="32">
        <f t="shared" si="1"/>
        <v>-60673913.043478258</v>
      </c>
      <c r="I8" s="32">
        <f t="shared" si="2"/>
        <v>114456521.73913044</v>
      </c>
      <c r="J8" s="45">
        <f>COUNTIF(Clean_Working!K$2:K$218,"&lt;"&amp;H8)+COUNTIF(Clean_Working!K$2:K$218,"&gt;"&amp;I8)</f>
        <v>117</v>
      </c>
    </row>
    <row r="9" spans="1:10">
      <c r="A9" s="49" t="s">
        <v>341</v>
      </c>
      <c r="B9" s="35">
        <f>MIN(Clean_Working!AP$2:AP$218)</f>
        <v>-0.71846153846153848</v>
      </c>
      <c r="C9" s="35">
        <f>_xlfn.QUARTILE.INC(Clean_Working!AP$2:AP$218,1)</f>
        <v>8.254994124559345E-2</v>
      </c>
      <c r="D9" s="35">
        <f>MEDIAN(Clean_Working!AP$2:AP$218)</f>
        <v>0.25</v>
      </c>
      <c r="E9" s="35">
        <f>_xlfn.QUARTILE.INC(Clean_Working!AP$2:AP$218,3)</f>
        <v>0.62661428571428568</v>
      </c>
      <c r="F9" s="35">
        <f>MAX(Clean_Working!AP$2:AP$218)</f>
        <v>6</v>
      </c>
      <c r="G9" s="35">
        <f t="shared" si="0"/>
        <v>0.54406434446869223</v>
      </c>
      <c r="H9" s="35">
        <f t="shared" si="1"/>
        <v>-0.73354657545744484</v>
      </c>
      <c r="I9" s="35">
        <f t="shared" si="2"/>
        <v>1.4427108024173241</v>
      </c>
      <c r="J9" s="50">
        <f>COUNTIF(Clean_Working!K$2:K$218,"&lt;"&amp;H9)+COUNTIF(Clean_Working!K$2:K$218,"&gt;"&amp;I9)</f>
        <v>203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B1F0-DE31-417C-85F4-9B9CCDD22D50}">
  <dimension ref="B3:L58"/>
  <sheetViews>
    <sheetView tabSelected="1" topLeftCell="A6" workbookViewId="0">
      <selection activeCell="N60" sqref="N60"/>
    </sheetView>
  </sheetViews>
  <sheetFormatPr defaultRowHeight="13.8"/>
  <cols>
    <col min="2" max="2" width="42.09765625" bestFit="1" customWidth="1"/>
    <col min="3" max="3" width="24.3984375" bestFit="1" customWidth="1"/>
    <col min="5" max="5" width="13.09765625" bestFit="1" customWidth="1"/>
    <col min="6" max="6" width="24.3984375" bestFit="1" customWidth="1"/>
  </cols>
  <sheetData>
    <row r="3" spans="2:12" ht="14.4">
      <c r="B3" s="108" t="s">
        <v>318</v>
      </c>
      <c r="C3" s="108"/>
      <c r="E3" s="108" t="s">
        <v>307</v>
      </c>
      <c r="F3" s="108"/>
      <c r="H3" s="107" t="s">
        <v>304</v>
      </c>
      <c r="I3" s="107"/>
      <c r="J3" s="107"/>
      <c r="K3" s="107"/>
      <c r="L3" s="107"/>
    </row>
    <row r="4" spans="2:12">
      <c r="B4" s="32" t="s">
        <v>294</v>
      </c>
      <c r="C4" s="32">
        <f>COUNTA(Clean_Working!A2:A218)</f>
        <v>217</v>
      </c>
      <c r="E4" s="39" t="s">
        <v>301</v>
      </c>
      <c r="F4" s="32" t="s">
        <v>303</v>
      </c>
    </row>
    <row r="5" spans="2:12">
      <c r="B5" s="32" t="s">
        <v>295</v>
      </c>
      <c r="C5" s="33">
        <f>MEDIAN(Clean_Working!K2:K218)</f>
        <v>217920000</v>
      </c>
      <c r="E5" s="40" t="s">
        <v>65</v>
      </c>
      <c r="F5" s="32">
        <v>78</v>
      </c>
    </row>
    <row r="6" spans="2:12">
      <c r="B6" s="32" t="s">
        <v>296</v>
      </c>
      <c r="C6" s="33">
        <f>AVERAGE(Clean_Working!K2:K218)</f>
        <v>48370522773.399017</v>
      </c>
      <c r="E6" s="40" t="s">
        <v>74</v>
      </c>
      <c r="F6" s="32">
        <v>51</v>
      </c>
    </row>
    <row r="7" spans="2:12">
      <c r="B7" s="32" t="s">
        <v>297</v>
      </c>
      <c r="C7" s="34">
        <f>MEDIAN(Clean_Working!N2:N218)</f>
        <v>14</v>
      </c>
      <c r="E7" s="40" t="s">
        <v>49</v>
      </c>
      <c r="F7" s="32">
        <v>51</v>
      </c>
    </row>
    <row r="8" spans="2:12">
      <c r="B8" s="32" t="s">
        <v>298</v>
      </c>
      <c r="C8" s="32">
        <f>MEDIAN(Clean_Working!M2:M218)</f>
        <v>70</v>
      </c>
      <c r="E8" s="40" t="s">
        <v>80</v>
      </c>
      <c r="F8" s="32">
        <v>37</v>
      </c>
    </row>
    <row r="9" spans="2:12">
      <c r="B9" s="32" t="s">
        <v>300</v>
      </c>
      <c r="C9" s="34">
        <f>MEDIAN(Clean_Working!AL2:AL218)</f>
        <v>17</v>
      </c>
      <c r="E9" s="40" t="s">
        <v>302</v>
      </c>
      <c r="F9" s="32">
        <v>217</v>
      </c>
    </row>
    <row r="10" spans="2:12">
      <c r="B10" s="35" t="s">
        <v>299</v>
      </c>
      <c r="C10" s="36">
        <f>COUNTIF(Clean_Working!AO2:AO218,"Yes")/COUNTA(Clean_Working!AO2:AO218)</f>
        <v>0.20276497695852536</v>
      </c>
    </row>
    <row r="13" spans="2:12">
      <c r="B13" s="41"/>
      <c r="C13" s="41"/>
    </row>
    <row r="17" spans="5:11" ht="14.4">
      <c r="H17" s="107" t="s">
        <v>305</v>
      </c>
      <c r="I17" s="107"/>
      <c r="J17" s="107"/>
      <c r="K17" s="107"/>
    </row>
    <row r="18" spans="5:11" ht="14.4">
      <c r="E18" s="42"/>
      <c r="F18" s="42"/>
    </row>
    <row r="19" spans="5:11" ht="14.4">
      <c r="E19" s="107" t="s">
        <v>306</v>
      </c>
      <c r="F19" s="107"/>
    </row>
    <row r="20" spans="5:11">
      <c r="E20" s="39" t="s">
        <v>301</v>
      </c>
      <c r="F20" s="32" t="s">
        <v>303</v>
      </c>
    </row>
    <row r="21" spans="5:11">
      <c r="E21" s="40" t="s">
        <v>66</v>
      </c>
      <c r="F21" s="32">
        <v>77</v>
      </c>
    </row>
    <row r="22" spans="5:11">
      <c r="E22" s="40" t="s">
        <v>58</v>
      </c>
      <c r="F22" s="32">
        <v>75</v>
      </c>
    </row>
    <row r="23" spans="5:11">
      <c r="E23" s="40" t="s">
        <v>50</v>
      </c>
      <c r="F23" s="32">
        <v>65</v>
      </c>
    </row>
    <row r="24" spans="5:11">
      <c r="E24" s="40" t="s">
        <v>302</v>
      </c>
      <c r="F24" s="32">
        <v>217</v>
      </c>
    </row>
    <row r="32" spans="5:11" ht="14.4">
      <c r="F32" s="107" t="s">
        <v>308</v>
      </c>
      <c r="G32" s="109"/>
      <c r="H32" s="109"/>
      <c r="I32" s="109"/>
      <c r="J32" s="109"/>
    </row>
    <row r="33" spans="2:3">
      <c r="B33" s="39" t="s">
        <v>301</v>
      </c>
      <c r="C33" s="32" t="s">
        <v>303</v>
      </c>
    </row>
    <row r="34" spans="2:3">
      <c r="B34" s="40" t="s">
        <v>51</v>
      </c>
      <c r="C34" s="32">
        <v>86</v>
      </c>
    </row>
    <row r="35" spans="2:3">
      <c r="B35" s="40" t="s">
        <v>76</v>
      </c>
      <c r="C35" s="32">
        <v>32</v>
      </c>
    </row>
    <row r="36" spans="2:3">
      <c r="B36" s="40" t="s">
        <v>71</v>
      </c>
      <c r="C36" s="32">
        <v>17</v>
      </c>
    </row>
    <row r="37" spans="2:3">
      <c r="B37" s="40" t="s">
        <v>72</v>
      </c>
      <c r="C37" s="32">
        <v>14</v>
      </c>
    </row>
    <row r="38" spans="2:3">
      <c r="B38" s="40" t="s">
        <v>59</v>
      </c>
      <c r="C38" s="32">
        <v>12</v>
      </c>
    </row>
    <row r="39" spans="2:3">
      <c r="B39" s="40" t="s">
        <v>89</v>
      </c>
      <c r="C39" s="32">
        <v>9</v>
      </c>
    </row>
    <row r="40" spans="2:3">
      <c r="B40" s="40" t="s">
        <v>83</v>
      </c>
      <c r="C40" s="32">
        <v>8</v>
      </c>
    </row>
    <row r="41" spans="2:3">
      <c r="B41" s="40" t="s">
        <v>78</v>
      </c>
      <c r="C41" s="32">
        <v>7</v>
      </c>
    </row>
    <row r="42" spans="2:3">
      <c r="B42" s="40" t="s">
        <v>88</v>
      </c>
      <c r="C42" s="32">
        <v>6</v>
      </c>
    </row>
    <row r="43" spans="2:3">
      <c r="B43" s="40" t="s">
        <v>96</v>
      </c>
      <c r="C43" s="32">
        <v>6</v>
      </c>
    </row>
    <row r="44" spans="2:3">
      <c r="B44" s="40" t="s">
        <v>73</v>
      </c>
      <c r="C44" s="32">
        <v>6</v>
      </c>
    </row>
    <row r="45" spans="2:3">
      <c r="B45" s="40" t="s">
        <v>302</v>
      </c>
      <c r="C45" s="32">
        <v>203</v>
      </c>
    </row>
    <row r="51" spans="5:12" ht="14.4">
      <c r="E51" s="107" t="s">
        <v>316</v>
      </c>
      <c r="F51" s="107"/>
      <c r="I51" s="107" t="s">
        <v>317</v>
      </c>
      <c r="J51" s="107"/>
      <c r="K51" s="107"/>
      <c r="L51" s="107"/>
    </row>
    <row r="52" spans="5:12">
      <c r="E52" s="37" t="s">
        <v>301</v>
      </c>
      <c r="F52" t="s">
        <v>303</v>
      </c>
    </row>
    <row r="53" spans="5:12">
      <c r="E53" s="38" t="s">
        <v>311</v>
      </c>
      <c r="F53">
        <v>41</v>
      </c>
    </row>
    <row r="54" spans="5:12">
      <c r="E54" s="38" t="s">
        <v>312</v>
      </c>
      <c r="F54">
        <v>85</v>
      </c>
    </row>
    <row r="55" spans="5:12">
      <c r="E55" s="38" t="s">
        <v>313</v>
      </c>
      <c r="F55">
        <v>48</v>
      </c>
    </row>
    <row r="56" spans="5:12">
      <c r="E56" s="38" t="s">
        <v>314</v>
      </c>
      <c r="F56">
        <v>42</v>
      </c>
    </row>
    <row r="57" spans="5:12">
      <c r="E57" s="38" t="s">
        <v>315</v>
      </c>
      <c r="F57">
        <v>1</v>
      </c>
    </row>
    <row r="58" spans="5:12">
      <c r="E58" s="38" t="s">
        <v>302</v>
      </c>
      <c r="F58">
        <v>217</v>
      </c>
    </row>
  </sheetData>
  <mergeCells count="8">
    <mergeCell ref="I51:L51"/>
    <mergeCell ref="E51:F51"/>
    <mergeCell ref="E3:F3"/>
    <mergeCell ref="B3:C3"/>
    <mergeCell ref="H3:L3"/>
    <mergeCell ref="H17:K17"/>
    <mergeCell ref="E19:F19"/>
    <mergeCell ref="F32:J32"/>
  </mergeCells>
  <pageMargins left="0.7" right="0.7" top="0.75" bottom="0.75" header="0.3" footer="0.3"/>
  <drawing r:id="rId5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384D-A700-4C2E-B52B-6CECA610D098}">
  <dimension ref="A1:S98"/>
  <sheetViews>
    <sheetView topLeftCell="G64" zoomScale="99" zoomScaleNormal="99" workbookViewId="0">
      <selection activeCell="U94" sqref="U94"/>
    </sheetView>
  </sheetViews>
  <sheetFormatPr defaultRowHeight="13.8"/>
  <cols>
    <col min="1" max="1" width="25.296875" customWidth="1"/>
    <col min="2" max="2" width="24.59765625" bestFit="1" customWidth="1"/>
    <col min="3" max="3" width="14.296875" bestFit="1" customWidth="1"/>
    <col min="4" max="4" width="14.8984375" bestFit="1" customWidth="1"/>
    <col min="5" max="6" width="24.3984375" bestFit="1" customWidth="1"/>
    <col min="7" max="7" width="16.09765625" bestFit="1" customWidth="1"/>
    <col min="8" max="8" width="11.5" bestFit="1" customWidth="1"/>
    <col min="9" max="9" width="7.09765625" bestFit="1" customWidth="1"/>
    <col min="10" max="10" width="7.59765625" bestFit="1" customWidth="1"/>
    <col min="11" max="11" width="11" bestFit="1" customWidth="1"/>
  </cols>
  <sheetData>
    <row r="1" spans="1:18" ht="15.6">
      <c r="A1" s="110" t="s">
        <v>360</v>
      </c>
      <c r="B1" s="110"/>
      <c r="C1" s="110"/>
      <c r="D1" s="110"/>
      <c r="E1" s="52"/>
      <c r="F1" s="52"/>
      <c r="G1" s="52"/>
      <c r="H1" s="52"/>
      <c r="I1" s="52"/>
      <c r="J1" s="52"/>
      <c r="K1" s="52"/>
    </row>
    <row r="2" spans="1:18" ht="14.4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8" ht="14.4">
      <c r="A3" s="53" t="s">
        <v>319</v>
      </c>
      <c r="B3" s="54" t="s">
        <v>320</v>
      </c>
      <c r="C3" s="52"/>
      <c r="D3" s="55" t="s">
        <v>301</v>
      </c>
      <c r="E3" s="56" t="s">
        <v>303</v>
      </c>
      <c r="F3" s="52"/>
      <c r="G3" s="52"/>
      <c r="H3" s="52"/>
      <c r="I3" s="52"/>
      <c r="J3" s="52"/>
      <c r="K3" s="52"/>
    </row>
    <row r="4" spans="1:18" ht="14.4">
      <c r="A4" s="57" t="s">
        <v>321</v>
      </c>
      <c r="B4" s="58">
        <f>COUNT(Clean_Working!AQ2:AQ218)</f>
        <v>186</v>
      </c>
      <c r="C4" s="52"/>
      <c r="D4" s="59" t="s">
        <v>344</v>
      </c>
      <c r="E4" s="56">
        <v>47</v>
      </c>
      <c r="F4" s="52"/>
      <c r="G4" s="52"/>
      <c r="H4" s="52"/>
      <c r="I4" s="52"/>
      <c r="J4" s="52"/>
      <c r="K4" s="52"/>
    </row>
    <row r="5" spans="1:18" ht="14.4">
      <c r="A5" s="57" t="s">
        <v>322</v>
      </c>
      <c r="B5" s="60">
        <f>_xlfn.QUARTILE.INC(Clean_Working!AQ2:AQ218,1)</f>
        <v>4.0455884936397957E-2</v>
      </c>
      <c r="C5" s="52"/>
      <c r="D5" s="59" t="s">
        <v>345</v>
      </c>
      <c r="E5" s="56">
        <v>47</v>
      </c>
      <c r="F5" s="52"/>
      <c r="G5" s="52"/>
      <c r="H5" s="52"/>
      <c r="I5" s="52"/>
      <c r="J5" s="52"/>
      <c r="K5" s="52"/>
    </row>
    <row r="6" spans="1:18" ht="14.4">
      <c r="A6" s="61" t="s">
        <v>323</v>
      </c>
      <c r="B6" s="60">
        <f>MEDIAN(Clean_Working!AQ2:AQ218)</f>
        <v>0.1180339887498949</v>
      </c>
      <c r="C6" s="52"/>
      <c r="D6" s="59" t="s">
        <v>346</v>
      </c>
      <c r="E6" s="56">
        <v>92</v>
      </c>
      <c r="F6" s="52"/>
      <c r="G6" s="52"/>
      <c r="H6" s="52"/>
      <c r="I6" s="52"/>
      <c r="J6" s="52"/>
      <c r="K6" s="52"/>
    </row>
    <row r="7" spans="1:18" ht="14.4">
      <c r="A7" s="62" t="s">
        <v>324</v>
      </c>
      <c r="B7" s="63">
        <f>_xlfn.QUARTILE.INC(Clean_Working!AQ2:AQ218,3)</f>
        <v>0.27537359136651546</v>
      </c>
      <c r="C7" s="52"/>
      <c r="D7" s="59" t="s">
        <v>347</v>
      </c>
      <c r="E7" s="56">
        <v>31</v>
      </c>
      <c r="F7" s="52"/>
      <c r="G7" s="52"/>
      <c r="H7" s="52"/>
      <c r="I7" s="52"/>
      <c r="J7" s="52"/>
      <c r="K7" s="52"/>
      <c r="O7" s="41"/>
      <c r="P7" s="41"/>
      <c r="Q7" s="41"/>
      <c r="R7" s="41"/>
    </row>
    <row r="8" spans="1:18" ht="14.4">
      <c r="A8" s="52"/>
      <c r="B8" s="52"/>
      <c r="C8" s="52"/>
      <c r="D8" s="59" t="s">
        <v>302</v>
      </c>
      <c r="E8" s="56">
        <v>217</v>
      </c>
      <c r="F8" s="52"/>
      <c r="G8" s="52"/>
      <c r="H8" s="52"/>
      <c r="I8" s="52"/>
      <c r="J8" s="52"/>
      <c r="K8" s="52"/>
    </row>
    <row r="9" spans="1:18" ht="14.4">
      <c r="A9" s="52"/>
      <c r="B9" s="52"/>
      <c r="C9" s="52"/>
      <c r="D9" s="52"/>
      <c r="E9" s="52"/>
      <c r="F9" s="52"/>
      <c r="G9" s="108" t="s">
        <v>354</v>
      </c>
      <c r="H9" s="108"/>
      <c r="I9" s="108"/>
      <c r="J9" s="52"/>
      <c r="K9" s="52"/>
    </row>
    <row r="10" spans="1:18" ht="14.4">
      <c r="A10" s="53" t="s">
        <v>262</v>
      </c>
      <c r="B10" s="64" t="s">
        <v>344</v>
      </c>
      <c r="C10" s="64" t="s">
        <v>345</v>
      </c>
      <c r="D10" s="54" t="s">
        <v>342</v>
      </c>
      <c r="E10" s="52"/>
      <c r="F10" s="55" t="s">
        <v>303</v>
      </c>
      <c r="G10" s="55" t="s">
        <v>353</v>
      </c>
      <c r="H10" s="56"/>
      <c r="I10" s="56"/>
      <c r="J10" s="56"/>
      <c r="K10" s="56"/>
    </row>
    <row r="11" spans="1:18" ht="14.4">
      <c r="A11" s="57" t="s">
        <v>348</v>
      </c>
      <c r="B11" s="65" cm="1">
        <f t="array" ref="B11">MEDIAN(_xlfn._xlws.FILTER(Clean_Working!$AQ$2:$AQ$218,Clean_Working!$AZ$2:$AZ$218=B$10))</f>
        <v>0.44721490896690153</v>
      </c>
      <c r="C11" s="65" cm="1">
        <f t="array" ref="C11">MEDIAN(_xlfn._xlws.FILTER(Clean_Working!$AQ$2:$AQ$218,Clean_Working!$AZ$2:$AZ$218=C$10))</f>
        <v>0</v>
      </c>
      <c r="D11" s="66">
        <f t="shared" ref="D11" si="0">B11-C11</f>
        <v>0.44721490896690153</v>
      </c>
      <c r="E11" s="52"/>
      <c r="F11" s="55" t="s">
        <v>301</v>
      </c>
      <c r="G11" s="56" t="s">
        <v>344</v>
      </c>
      <c r="H11" s="56" t="s">
        <v>345</v>
      </c>
      <c r="I11" s="56" t="s">
        <v>346</v>
      </c>
      <c r="J11" s="56" t="s">
        <v>347</v>
      </c>
      <c r="K11" s="56" t="s">
        <v>302</v>
      </c>
    </row>
    <row r="12" spans="1:18" ht="14.4">
      <c r="A12" s="57" t="s">
        <v>340</v>
      </c>
      <c r="B12" s="67" cm="1">
        <f t="array" ref="B12">MEDIAN(_xlfn._xlws.FILTER(Clean_Working!$AS$2:$AS$218,Clean_Working!$AZ$2:$AZ$218=B$10))</f>
        <v>8000000</v>
      </c>
      <c r="C12" s="67" cm="1">
        <f t="array" ref="C12">MEDIAN(_xlfn._xlws.FILTER(Clean_Working!$AS$2:$AS$218,Clean_Working!$AZ$2:$AZ$218=C$10))</f>
        <v>22000000</v>
      </c>
      <c r="D12" s="68">
        <f>B12-C12</f>
        <v>-14000000</v>
      </c>
      <c r="E12" s="52"/>
      <c r="F12" s="59" t="s">
        <v>50</v>
      </c>
      <c r="G12" s="69">
        <v>0.2</v>
      </c>
      <c r="H12" s="69">
        <v>0.29230769230769232</v>
      </c>
      <c r="I12" s="69">
        <v>0.41538461538461541</v>
      </c>
      <c r="J12" s="69">
        <v>9.2307692307692313E-2</v>
      </c>
      <c r="K12" s="69">
        <v>1</v>
      </c>
    </row>
    <row r="13" spans="1:18" ht="14.4">
      <c r="A13" s="57" t="s">
        <v>349</v>
      </c>
      <c r="B13" s="70" cm="1">
        <f t="array" ref="B13">MEDIAN(_xlfn._xlws.FILTER(Clean_Working!$M$2:$M$218,Clean_Working!$AZ$2:$AZ$218=B$10))</f>
        <v>70</v>
      </c>
      <c r="C13" s="70" cm="1">
        <f t="array" ref="C13">MEDIAN(_xlfn._xlws.FILTER(Clean_Working!$M$2:$M$218,Clean_Working!$AZ$2:$AZ$218=C$10))</f>
        <v>70</v>
      </c>
      <c r="D13" s="71">
        <f>B13-C13</f>
        <v>0</v>
      </c>
      <c r="E13" s="52"/>
      <c r="F13" s="59" t="s">
        <v>66</v>
      </c>
      <c r="G13" s="69">
        <v>0.18181818181818182</v>
      </c>
      <c r="H13" s="69">
        <v>0.20779220779220781</v>
      </c>
      <c r="I13" s="69">
        <v>0.42857142857142855</v>
      </c>
      <c r="J13" s="69">
        <v>0.18181818181818182</v>
      </c>
      <c r="K13" s="69">
        <v>1</v>
      </c>
    </row>
    <row r="14" spans="1:18" ht="14.4">
      <c r="A14" s="57" t="s">
        <v>350</v>
      </c>
      <c r="B14" s="65" cm="1">
        <f t="array" ref="B14">MEDIAN(_xlfn._xlws.FILTER(Clean_Working!$AR$2:$AR$218,Clean_Working!$AZ$2:$AZ$218=B$10))</f>
        <v>0.66666666666666674</v>
      </c>
      <c r="C14" s="65" cm="1">
        <f t="array" ref="C14">MEDIAN(_xlfn._xlws.FILTER(Clean_Working!$AR$2:$AR$218,Clean_Working!$AZ$2:$AZ$218=C$10))</f>
        <v>0</v>
      </c>
      <c r="D14" s="66">
        <f>B14-C14</f>
        <v>0.66666666666666674</v>
      </c>
      <c r="E14" s="52"/>
      <c r="F14" s="59" t="s">
        <v>58</v>
      </c>
      <c r="G14" s="69">
        <v>0.26666666666666666</v>
      </c>
      <c r="H14" s="69">
        <v>0.16</v>
      </c>
      <c r="I14" s="69">
        <v>0.42666666666666669</v>
      </c>
      <c r="J14" s="69">
        <v>0.14666666666666667</v>
      </c>
      <c r="K14" s="69">
        <v>1</v>
      </c>
    </row>
    <row r="15" spans="1:18" ht="14.4">
      <c r="A15" s="57" t="s">
        <v>351</v>
      </c>
      <c r="B15" s="56" cm="1">
        <f t="array" ref="B15">MEDIAN(_xlfn._xlws.FILTER(Clean_Working!$AL$2:$AL$218,Clean_Working!$AZ$2:$AZ$218=B$10))</f>
        <v>17</v>
      </c>
      <c r="C15" s="56" cm="1">
        <f t="array" ref="C15">MEDIAN(_xlfn._xlws.FILTER(Clean_Working!$AL$2:$AL$218,Clean_Working!$AZ$2:$AZ$218=C$10))</f>
        <v>17</v>
      </c>
      <c r="D15" s="58">
        <f>B15-C15</f>
        <v>0</v>
      </c>
      <c r="E15" s="52"/>
      <c r="F15" s="59" t="s">
        <v>302</v>
      </c>
      <c r="G15" s="69">
        <v>0.21658986175115208</v>
      </c>
      <c r="H15" s="69">
        <v>0.21658986175115208</v>
      </c>
      <c r="I15" s="69">
        <v>0.42396313364055299</v>
      </c>
      <c r="J15" s="69">
        <v>0.14285714285714285</v>
      </c>
      <c r="K15" s="69">
        <v>1</v>
      </c>
    </row>
    <row r="16" spans="1:18" ht="14.4">
      <c r="A16" s="62" t="s">
        <v>352</v>
      </c>
      <c r="B16" s="72" cm="1">
        <f t="array" ref="B16">MEDIAN(_xlfn._xlws.FILTER(Clean_Working!$I$2:$I$218,Clean_Working!$AZ$2:$AZ$218=B$10))</f>
        <v>20</v>
      </c>
      <c r="C16" s="72" cm="1">
        <f t="array" ref="C16">MEDIAN(_xlfn._xlws.FILTER(Clean_Working!$I$2:$I$218,Clean_Working!$AZ$2:$AZ$218=C$10))</f>
        <v>19.5</v>
      </c>
      <c r="D16" s="73">
        <f>B16-C16</f>
        <v>0.5</v>
      </c>
      <c r="E16" s="52"/>
      <c r="F16" s="52"/>
      <c r="G16" s="52"/>
      <c r="H16" s="52"/>
      <c r="I16" s="52"/>
      <c r="J16" s="52"/>
      <c r="K16" s="52"/>
    </row>
    <row r="17" spans="1:16" ht="14.4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 spans="1:16" ht="14.4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</row>
    <row r="19" spans="1:16" ht="14.4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</row>
    <row r="20" spans="1:16" ht="14.4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1:16" ht="14.4">
      <c r="A21" s="52"/>
      <c r="B21" s="52"/>
      <c r="C21" s="52"/>
      <c r="D21" s="52"/>
      <c r="E21" s="52"/>
      <c r="F21" s="52"/>
      <c r="G21" s="108" t="s">
        <v>355</v>
      </c>
      <c r="H21" s="111"/>
      <c r="I21" s="111"/>
      <c r="J21" s="52"/>
      <c r="K21" s="52"/>
    </row>
    <row r="22" spans="1:16" ht="14.4">
      <c r="A22" s="52"/>
      <c r="B22" s="52"/>
      <c r="C22" s="52"/>
      <c r="D22" s="52"/>
      <c r="E22" s="52"/>
      <c r="F22" s="55" t="s">
        <v>303</v>
      </c>
      <c r="G22" s="55" t="s">
        <v>353</v>
      </c>
      <c r="H22" s="56"/>
      <c r="I22" s="56"/>
      <c r="J22" s="56"/>
      <c r="K22" s="56"/>
      <c r="P22" s="42"/>
    </row>
    <row r="23" spans="1:16" ht="14.4">
      <c r="A23" s="52"/>
      <c r="B23" s="52"/>
      <c r="C23" s="52"/>
      <c r="D23" s="52"/>
      <c r="E23" s="52"/>
      <c r="F23" s="55" t="s">
        <v>301</v>
      </c>
      <c r="G23" s="56" t="s">
        <v>344</v>
      </c>
      <c r="H23" s="56" t="s">
        <v>345</v>
      </c>
      <c r="I23" s="56" t="s">
        <v>346</v>
      </c>
      <c r="J23" s="56" t="s">
        <v>347</v>
      </c>
      <c r="K23" s="56" t="s">
        <v>302</v>
      </c>
    </row>
    <row r="24" spans="1:16" ht="14.4">
      <c r="A24" s="52"/>
      <c r="B24" s="52"/>
      <c r="C24" s="52"/>
      <c r="D24" s="52"/>
      <c r="E24" s="52"/>
      <c r="F24" s="59" t="s">
        <v>65</v>
      </c>
      <c r="G24" s="69">
        <v>0.29487179487179488</v>
      </c>
      <c r="H24" s="69">
        <v>0.21794871794871795</v>
      </c>
      <c r="I24" s="69">
        <v>0.38461538461538464</v>
      </c>
      <c r="J24" s="69">
        <v>0.10256410256410256</v>
      </c>
      <c r="K24" s="69">
        <v>1</v>
      </c>
    </row>
    <row r="25" spans="1:16" ht="14.4">
      <c r="A25" s="52"/>
      <c r="B25" s="52"/>
      <c r="C25" s="52"/>
      <c r="D25" s="52"/>
      <c r="E25" s="52"/>
      <c r="F25" s="59" t="s">
        <v>49</v>
      </c>
      <c r="G25" s="69">
        <v>0.17647058823529413</v>
      </c>
      <c r="H25" s="69">
        <v>0.17647058823529413</v>
      </c>
      <c r="I25" s="69">
        <v>0.6470588235294118</v>
      </c>
      <c r="J25" s="69">
        <v>0</v>
      </c>
      <c r="K25" s="69">
        <v>1</v>
      </c>
    </row>
    <row r="26" spans="1:16" ht="14.4">
      <c r="A26" s="52"/>
      <c r="B26" s="52"/>
      <c r="C26" s="52"/>
      <c r="D26" s="52"/>
      <c r="E26" s="52"/>
      <c r="F26" s="59" t="s">
        <v>80</v>
      </c>
      <c r="G26" s="69">
        <v>0.13513513513513514</v>
      </c>
      <c r="H26" s="69">
        <v>0.21621621621621623</v>
      </c>
      <c r="I26" s="69">
        <v>0.51351351351351349</v>
      </c>
      <c r="J26" s="69">
        <v>0.13513513513513514</v>
      </c>
      <c r="K26" s="69">
        <v>1</v>
      </c>
    </row>
    <row r="27" spans="1:16" ht="14.4">
      <c r="A27" s="52"/>
      <c r="B27" s="52"/>
      <c r="C27" s="52"/>
      <c r="D27" s="52"/>
      <c r="E27" s="52"/>
      <c r="F27" s="59" t="s">
        <v>74</v>
      </c>
      <c r="G27" s="69">
        <v>0.19607843137254902</v>
      </c>
      <c r="H27" s="69">
        <v>0.25490196078431371</v>
      </c>
      <c r="I27" s="69">
        <v>0.19607843137254902</v>
      </c>
      <c r="J27" s="69">
        <v>0.35294117647058826</v>
      </c>
      <c r="K27" s="69">
        <v>1</v>
      </c>
    </row>
    <row r="28" spans="1:16" ht="14.4">
      <c r="A28" s="52"/>
      <c r="B28" s="52"/>
      <c r="C28" s="52"/>
      <c r="D28" s="52"/>
      <c r="E28" s="52"/>
      <c r="F28" s="59" t="s">
        <v>302</v>
      </c>
      <c r="G28" s="69">
        <v>0.21658986175115208</v>
      </c>
      <c r="H28" s="69">
        <v>0.21658986175115208</v>
      </c>
      <c r="I28" s="69">
        <v>0.42396313364055299</v>
      </c>
      <c r="J28" s="69">
        <v>0.14285714285714285</v>
      </c>
      <c r="K28" s="69">
        <v>1</v>
      </c>
    </row>
    <row r="29" spans="1:16" ht="14.4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</row>
    <row r="30" spans="1:16" ht="14.4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</row>
    <row r="31" spans="1:16" ht="14.4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16" ht="14.4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8" ht="14.4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</row>
    <row r="34" spans="1:18" ht="14.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spans="1:18" ht="14.4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spans="1:18" ht="14.4">
      <c r="A36" s="52"/>
      <c r="B36" s="52"/>
      <c r="C36" s="52"/>
      <c r="D36" s="52"/>
      <c r="E36" s="52"/>
      <c r="F36" s="52"/>
      <c r="G36" s="108" t="s">
        <v>356</v>
      </c>
      <c r="H36" s="111"/>
      <c r="I36" s="111"/>
      <c r="J36" s="52"/>
      <c r="K36" s="52"/>
    </row>
    <row r="37" spans="1:18" ht="14.4">
      <c r="A37" s="52"/>
      <c r="B37" s="52"/>
      <c r="C37" s="52"/>
      <c r="D37" s="52"/>
      <c r="E37" s="52"/>
      <c r="F37" s="55" t="s">
        <v>303</v>
      </c>
      <c r="G37" s="55" t="s">
        <v>353</v>
      </c>
      <c r="H37" s="56"/>
      <c r="I37" s="56"/>
      <c r="J37" s="56"/>
      <c r="K37" s="56"/>
      <c r="O37" s="42"/>
      <c r="P37" s="42"/>
      <c r="Q37" s="42"/>
      <c r="R37" s="42"/>
    </row>
    <row r="38" spans="1:18" ht="14.4">
      <c r="A38" s="52"/>
      <c r="B38" s="52"/>
      <c r="C38" s="52"/>
      <c r="D38" s="52"/>
      <c r="E38" s="52"/>
      <c r="F38" s="55" t="s">
        <v>301</v>
      </c>
      <c r="G38" s="56" t="s">
        <v>344</v>
      </c>
      <c r="H38" s="56" t="s">
        <v>345</v>
      </c>
      <c r="I38" s="56" t="s">
        <v>346</v>
      </c>
      <c r="J38" s="56" t="s">
        <v>347</v>
      </c>
      <c r="K38" s="56" t="s">
        <v>302</v>
      </c>
    </row>
    <row r="39" spans="1:18" ht="14.4">
      <c r="A39" s="52"/>
      <c r="B39" s="52"/>
      <c r="C39" s="52"/>
      <c r="D39" s="52"/>
      <c r="E39" s="52"/>
      <c r="F39" s="59" t="s">
        <v>311</v>
      </c>
      <c r="G39" s="69">
        <v>0.14634146341463414</v>
      </c>
      <c r="H39" s="69">
        <v>0.14634146341463414</v>
      </c>
      <c r="I39" s="69">
        <v>0.41463414634146339</v>
      </c>
      <c r="J39" s="69">
        <v>0.29268292682926828</v>
      </c>
      <c r="K39" s="69">
        <v>1</v>
      </c>
    </row>
    <row r="40" spans="1:18" ht="14.4">
      <c r="A40" s="52"/>
      <c r="B40" s="52"/>
      <c r="C40" s="52"/>
      <c r="D40" s="52"/>
      <c r="E40" s="52"/>
      <c r="F40" s="59" t="s">
        <v>312</v>
      </c>
      <c r="G40" s="69">
        <v>0.22352941176470589</v>
      </c>
      <c r="H40" s="69">
        <v>0.24705882352941178</v>
      </c>
      <c r="I40" s="69">
        <v>0.44705882352941179</v>
      </c>
      <c r="J40" s="69">
        <v>8.2352941176470587E-2</v>
      </c>
      <c r="K40" s="69">
        <v>1</v>
      </c>
    </row>
    <row r="41" spans="1:18" ht="14.4">
      <c r="A41" s="52"/>
      <c r="B41" s="52"/>
      <c r="C41" s="52"/>
      <c r="D41" s="52"/>
      <c r="E41" s="52"/>
      <c r="F41" s="59" t="s">
        <v>313</v>
      </c>
      <c r="G41" s="69">
        <v>0.33333333333333331</v>
      </c>
      <c r="H41" s="69">
        <v>0.1875</v>
      </c>
      <c r="I41" s="69">
        <v>0.33333333333333331</v>
      </c>
      <c r="J41" s="69">
        <v>0.14583333333333334</v>
      </c>
      <c r="K41" s="69">
        <v>1</v>
      </c>
    </row>
    <row r="42" spans="1:18" ht="14.4">
      <c r="A42" s="52"/>
      <c r="B42" s="52"/>
      <c r="C42" s="52"/>
      <c r="D42" s="52"/>
      <c r="E42" s="52"/>
      <c r="F42" s="59" t="s">
        <v>314</v>
      </c>
      <c r="G42" s="69">
        <v>0.14285714285714285</v>
      </c>
      <c r="H42" s="69">
        <v>0.26190476190476192</v>
      </c>
      <c r="I42" s="69">
        <v>0.5</v>
      </c>
      <c r="J42" s="69">
        <v>9.5238095238095233E-2</v>
      </c>
      <c r="K42" s="69">
        <v>1</v>
      </c>
    </row>
    <row r="43" spans="1:18" ht="14.4">
      <c r="A43" s="52"/>
      <c r="B43" s="52"/>
      <c r="C43" s="52"/>
      <c r="D43" s="52"/>
      <c r="E43" s="52"/>
      <c r="F43" s="59" t="s">
        <v>315</v>
      </c>
      <c r="G43" s="69">
        <v>0</v>
      </c>
      <c r="H43" s="69">
        <v>0</v>
      </c>
      <c r="I43" s="69">
        <v>0</v>
      </c>
      <c r="J43" s="69">
        <v>1</v>
      </c>
      <c r="K43" s="69">
        <v>1</v>
      </c>
    </row>
    <row r="44" spans="1:18" ht="14.4">
      <c r="A44" s="52"/>
      <c r="B44" s="52"/>
      <c r="C44" s="52"/>
      <c r="D44" s="52"/>
      <c r="E44" s="52"/>
      <c r="F44" s="59" t="s">
        <v>302</v>
      </c>
      <c r="G44" s="69">
        <v>0.21658986175115208</v>
      </c>
      <c r="H44" s="69">
        <v>0.21658986175115208</v>
      </c>
      <c r="I44" s="69">
        <v>0.42396313364055299</v>
      </c>
      <c r="J44" s="69">
        <v>0.14285714285714285</v>
      </c>
      <c r="K44" s="69">
        <v>1</v>
      </c>
    </row>
    <row r="45" spans="1:18" ht="14.4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spans="1:18" ht="14.4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</row>
    <row r="47" spans="1:18" ht="14.4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spans="1:18" ht="14.4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</row>
    <row r="49" spans="1:19" ht="14.4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</row>
    <row r="50" spans="1:19" ht="14.4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</row>
    <row r="51" spans="1:19" ht="14.4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</row>
    <row r="52" spans="1:19" ht="14.4">
      <c r="A52" s="52"/>
      <c r="B52" s="52"/>
      <c r="C52" s="52"/>
      <c r="D52" s="52"/>
      <c r="E52" s="52"/>
      <c r="G52" s="52"/>
      <c r="H52" s="52"/>
      <c r="I52" s="52"/>
      <c r="J52" s="52"/>
    </row>
    <row r="53" spans="1:19" ht="14.4">
      <c r="A53" s="52"/>
      <c r="B53" s="52"/>
      <c r="C53" s="52"/>
      <c r="D53" s="52"/>
      <c r="E53" s="52"/>
    </row>
    <row r="54" spans="1:19" ht="14.4">
      <c r="A54" s="52"/>
      <c r="B54" s="52"/>
      <c r="C54" s="52"/>
      <c r="D54" s="52"/>
      <c r="E54" s="52"/>
    </row>
    <row r="55" spans="1:19" ht="14.4">
      <c r="A55" s="52"/>
      <c r="B55" s="52"/>
      <c r="C55" s="52"/>
      <c r="D55" s="52"/>
      <c r="E55" s="52"/>
    </row>
    <row r="56" spans="1:19" ht="14.4">
      <c r="A56" s="52"/>
      <c r="B56" s="52"/>
      <c r="C56" s="52"/>
      <c r="D56" s="52"/>
      <c r="E56" s="52"/>
      <c r="O56" s="42"/>
      <c r="P56" s="42"/>
      <c r="Q56" s="42"/>
      <c r="R56" s="42"/>
      <c r="S56" s="42"/>
    </row>
    <row r="57" spans="1:19" ht="14.4">
      <c r="A57" s="52"/>
      <c r="B57" s="52"/>
      <c r="C57" s="52"/>
      <c r="D57" s="52"/>
      <c r="E57" s="52"/>
    </row>
    <row r="58" spans="1:19" ht="14.4">
      <c r="A58" s="52"/>
      <c r="B58" s="52"/>
      <c r="C58" s="52"/>
      <c r="D58" s="52"/>
      <c r="E58" s="52"/>
      <c r="G58" s="107" t="s">
        <v>357</v>
      </c>
      <c r="H58" s="107"/>
      <c r="I58" s="107"/>
    </row>
    <row r="59" spans="1:19" ht="14.4">
      <c r="A59" s="52"/>
      <c r="B59" s="52"/>
      <c r="C59" s="52"/>
      <c r="D59" s="52"/>
      <c r="E59" s="52"/>
    </row>
    <row r="60" spans="1:19" ht="14.4">
      <c r="A60" s="52"/>
      <c r="B60" s="52"/>
      <c r="C60" s="52"/>
      <c r="D60" s="52"/>
      <c r="E60" s="52"/>
      <c r="F60" s="55" t="s">
        <v>303</v>
      </c>
      <c r="G60" s="55" t="s">
        <v>353</v>
      </c>
      <c r="H60" s="56"/>
      <c r="I60" s="56"/>
      <c r="J60" s="56"/>
      <c r="K60" s="56"/>
    </row>
    <row r="61" spans="1:19" ht="14.4">
      <c r="A61" s="52"/>
      <c r="B61" s="52"/>
      <c r="C61" s="52"/>
      <c r="D61" s="52"/>
      <c r="E61" s="52"/>
      <c r="F61" s="55" t="s">
        <v>301</v>
      </c>
      <c r="G61" s="56" t="s">
        <v>344</v>
      </c>
      <c r="H61" s="56" t="s">
        <v>345</v>
      </c>
      <c r="I61" s="56" t="s">
        <v>346</v>
      </c>
      <c r="J61" s="56" t="s">
        <v>347</v>
      </c>
      <c r="K61" s="56" t="s">
        <v>302</v>
      </c>
    </row>
    <row r="62" spans="1:19" ht="14.4">
      <c r="A62" s="52"/>
      <c r="B62" s="52"/>
      <c r="C62" s="52"/>
      <c r="D62" s="52"/>
      <c r="E62" s="52"/>
      <c r="F62" s="59" t="s">
        <v>53</v>
      </c>
      <c r="G62" s="69">
        <v>0.21965317919075145</v>
      </c>
      <c r="H62" s="69">
        <v>0.2138728323699422</v>
      </c>
      <c r="I62" s="69">
        <v>0.41618497109826591</v>
      </c>
      <c r="J62" s="69">
        <v>0.15028901734104047</v>
      </c>
      <c r="K62" s="69">
        <v>1</v>
      </c>
    </row>
    <row r="63" spans="1:19" ht="14.4">
      <c r="A63" s="52"/>
      <c r="B63" s="52"/>
      <c r="C63" s="52"/>
      <c r="D63" s="52"/>
      <c r="E63" s="52"/>
      <c r="F63" s="59" t="s">
        <v>52</v>
      </c>
      <c r="G63" s="69">
        <v>0.20454545454545456</v>
      </c>
      <c r="H63" s="69">
        <v>0.22727272727272727</v>
      </c>
      <c r="I63" s="69">
        <v>0.45454545454545453</v>
      </c>
      <c r="J63" s="69">
        <v>0.11363636363636363</v>
      </c>
      <c r="K63" s="69">
        <v>1</v>
      </c>
    </row>
    <row r="64" spans="1:19" ht="14.4">
      <c r="A64" s="52"/>
      <c r="B64" s="52"/>
      <c r="C64" s="52"/>
      <c r="D64" s="52"/>
      <c r="E64" s="52"/>
      <c r="F64" s="59" t="s">
        <v>302</v>
      </c>
      <c r="G64" s="69">
        <v>0.21658986175115208</v>
      </c>
      <c r="H64" s="69">
        <v>0.21658986175115208</v>
      </c>
      <c r="I64" s="69">
        <v>0.42396313364055299</v>
      </c>
      <c r="J64" s="69">
        <v>0.14285714285714285</v>
      </c>
      <c r="K64" s="69">
        <v>1</v>
      </c>
    </row>
    <row r="65" spans="1:19" ht="14.4">
      <c r="A65" s="52"/>
      <c r="B65" s="52"/>
      <c r="C65" s="52"/>
      <c r="D65" s="52"/>
      <c r="E65" s="52"/>
    </row>
    <row r="66" spans="1:19" ht="14.4">
      <c r="A66" s="52"/>
      <c r="B66" s="52"/>
      <c r="C66" s="52"/>
      <c r="D66" s="52"/>
      <c r="E66" s="52"/>
    </row>
    <row r="67" spans="1:19" ht="14.4">
      <c r="A67" s="52"/>
      <c r="B67" s="52"/>
      <c r="C67" s="52"/>
      <c r="D67" s="52"/>
      <c r="E67" s="52"/>
    </row>
    <row r="68" spans="1:19" ht="14.4">
      <c r="A68" s="52"/>
      <c r="B68" s="52"/>
      <c r="C68" s="52"/>
      <c r="D68" s="52"/>
      <c r="E68" s="52"/>
    </row>
    <row r="69" spans="1:19" ht="14.4">
      <c r="A69" s="52"/>
      <c r="B69" s="52"/>
      <c r="C69" s="52"/>
      <c r="D69" s="52"/>
      <c r="E69" s="52"/>
    </row>
    <row r="70" spans="1:19" ht="14.4">
      <c r="A70" s="52"/>
      <c r="B70" s="52"/>
      <c r="C70" s="52"/>
      <c r="D70" s="52"/>
      <c r="E70" s="52"/>
    </row>
    <row r="71" spans="1:19" ht="14.4">
      <c r="A71" s="52"/>
      <c r="B71" s="52"/>
      <c r="C71" s="52"/>
      <c r="D71" s="52"/>
      <c r="E71" s="52"/>
    </row>
    <row r="72" spans="1:19" ht="14.4">
      <c r="A72" s="74"/>
      <c r="B72" s="52"/>
      <c r="C72" s="52"/>
      <c r="D72" s="52"/>
      <c r="E72" s="52"/>
    </row>
    <row r="73" spans="1:19" ht="14.4">
      <c r="A73" s="52"/>
      <c r="B73" s="52"/>
      <c r="C73" s="52"/>
      <c r="D73" s="52"/>
      <c r="E73" s="52"/>
    </row>
    <row r="74" spans="1:19" ht="14.4">
      <c r="A74" s="52"/>
      <c r="B74" s="52"/>
      <c r="C74" s="52"/>
      <c r="D74" s="52"/>
      <c r="E74" s="52"/>
    </row>
    <row r="75" spans="1:19" ht="14.4">
      <c r="A75" s="52"/>
      <c r="B75" s="52"/>
      <c r="C75" s="52"/>
      <c r="D75" s="52"/>
      <c r="E75" s="52"/>
    </row>
    <row r="78" spans="1:19" ht="14.4">
      <c r="G78" s="108" t="s">
        <v>359</v>
      </c>
      <c r="H78" s="108"/>
      <c r="I78" s="108"/>
      <c r="O78" s="42"/>
      <c r="P78" s="42"/>
      <c r="Q78" s="42"/>
      <c r="R78" s="42"/>
      <c r="S78" s="42"/>
    </row>
    <row r="79" spans="1:19">
      <c r="F79" s="39" t="s">
        <v>303</v>
      </c>
      <c r="G79" s="39" t="s">
        <v>353</v>
      </c>
      <c r="H79" s="32"/>
      <c r="I79" s="32"/>
      <c r="J79" s="32"/>
      <c r="K79" s="32"/>
    </row>
    <row r="80" spans="1:19">
      <c r="F80" s="39" t="s">
        <v>301</v>
      </c>
      <c r="G80" s="32" t="s">
        <v>344</v>
      </c>
      <c r="H80" s="32" t="s">
        <v>345</v>
      </c>
      <c r="I80" s="32" t="s">
        <v>346</v>
      </c>
      <c r="J80" s="32" t="s">
        <v>347</v>
      </c>
      <c r="K80" s="32" t="s">
        <v>302</v>
      </c>
    </row>
    <row r="81" spans="6:11">
      <c r="F81" s="40" t="s">
        <v>53</v>
      </c>
      <c r="G81" s="75">
        <v>0.23809523809523808</v>
      </c>
      <c r="H81" s="75">
        <v>0.21768707482993196</v>
      </c>
      <c r="I81" s="75">
        <v>0.40816326530612246</v>
      </c>
      <c r="J81" s="75">
        <v>0.1360544217687075</v>
      </c>
      <c r="K81" s="75">
        <v>1</v>
      </c>
    </row>
    <row r="82" spans="6:11">
      <c r="F82" s="40" t="s">
        <v>52</v>
      </c>
      <c r="G82" s="75">
        <v>0.17142857142857143</v>
      </c>
      <c r="H82" s="75">
        <v>0.21428571428571427</v>
      </c>
      <c r="I82" s="75">
        <v>0.45714285714285713</v>
      </c>
      <c r="J82" s="75">
        <v>0.15714285714285714</v>
      </c>
      <c r="K82" s="75">
        <v>1</v>
      </c>
    </row>
    <row r="83" spans="6:11">
      <c r="F83" s="40" t="s">
        <v>302</v>
      </c>
      <c r="G83" s="75">
        <v>0.21658986175115208</v>
      </c>
      <c r="H83" s="75">
        <v>0.21658986175115208</v>
      </c>
      <c r="I83" s="75">
        <v>0.42396313364055299</v>
      </c>
      <c r="J83" s="75">
        <v>0.14285714285714285</v>
      </c>
      <c r="K83" s="75">
        <v>1</v>
      </c>
    </row>
    <row r="93" spans="6:11" ht="14.4">
      <c r="G93" s="108" t="s">
        <v>358</v>
      </c>
      <c r="H93" s="108"/>
      <c r="I93" s="108"/>
    </row>
    <row r="94" spans="6:11">
      <c r="F94" s="39" t="s">
        <v>303</v>
      </c>
      <c r="G94" s="39" t="s">
        <v>353</v>
      </c>
      <c r="H94" s="32"/>
      <c r="I94" s="32"/>
      <c r="J94" s="32"/>
      <c r="K94" s="32"/>
    </row>
    <row r="95" spans="6:11">
      <c r="F95" s="39" t="s">
        <v>301</v>
      </c>
      <c r="G95" s="32" t="s">
        <v>344</v>
      </c>
      <c r="H95" s="32" t="s">
        <v>345</v>
      </c>
      <c r="I95" s="32" t="s">
        <v>346</v>
      </c>
      <c r="J95" s="32" t="s">
        <v>347</v>
      </c>
      <c r="K95" s="32" t="s">
        <v>302</v>
      </c>
    </row>
    <row r="96" spans="6:11">
      <c r="F96" s="40" t="s">
        <v>53</v>
      </c>
      <c r="G96" s="75">
        <v>0.2138728323699422</v>
      </c>
      <c r="H96" s="75">
        <v>0.2138728323699422</v>
      </c>
      <c r="I96" s="75">
        <v>0.43930635838150289</v>
      </c>
      <c r="J96" s="75">
        <v>0.13294797687861271</v>
      </c>
      <c r="K96" s="75">
        <v>1</v>
      </c>
    </row>
    <row r="97" spans="6:19" ht="14.4">
      <c r="F97" s="40" t="s">
        <v>52</v>
      </c>
      <c r="G97" s="75">
        <v>0.22727272727272727</v>
      </c>
      <c r="H97" s="75">
        <v>0.22727272727272727</v>
      </c>
      <c r="I97" s="75">
        <v>0.36363636363636365</v>
      </c>
      <c r="J97" s="75">
        <v>0.18181818181818182</v>
      </c>
      <c r="K97" s="75">
        <v>1</v>
      </c>
      <c r="O97" s="42"/>
      <c r="P97" s="42"/>
      <c r="Q97" s="42"/>
      <c r="R97" s="42"/>
      <c r="S97" s="42"/>
    </row>
    <row r="98" spans="6:19">
      <c r="F98" s="40" t="s">
        <v>302</v>
      </c>
      <c r="G98" s="75">
        <v>0.21658986175115208</v>
      </c>
      <c r="H98" s="75">
        <v>0.21658986175115208</v>
      </c>
      <c r="I98" s="75">
        <v>0.42396313364055299</v>
      </c>
      <c r="J98" s="75">
        <v>0.14285714285714285</v>
      </c>
      <c r="K98" s="75">
        <v>1</v>
      </c>
    </row>
  </sheetData>
  <mergeCells count="7">
    <mergeCell ref="A1:D1"/>
    <mergeCell ref="G58:I58"/>
    <mergeCell ref="G78:I78"/>
    <mergeCell ref="G93:I93"/>
    <mergeCell ref="G9:I9"/>
    <mergeCell ref="G21:I21"/>
    <mergeCell ref="G36:I36"/>
  </mergeCells>
  <pageMargins left="0.7" right="0.7" top="0.75" bottom="0.75" header="0.3" footer="0.3"/>
  <drawing r:id="rId8"/>
  <tableParts count="2"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F263-3864-44FA-B9D8-0615A6E2C814}">
  <dimension ref="A1:G78"/>
  <sheetViews>
    <sheetView topLeftCell="A9" workbookViewId="0">
      <selection activeCell="A2" sqref="A2:G2"/>
    </sheetView>
  </sheetViews>
  <sheetFormatPr defaultRowHeight="13.8"/>
  <cols>
    <col min="1" max="1" width="40.09765625" bestFit="1" customWidth="1"/>
    <col min="2" max="2" width="13.5" customWidth="1"/>
    <col min="3" max="3" width="13.19921875" customWidth="1"/>
    <col min="4" max="4" width="17.296875" bestFit="1" customWidth="1"/>
  </cols>
  <sheetData>
    <row r="1" spans="1:7" ht="14.4">
      <c r="A1" s="52"/>
      <c r="B1" s="52"/>
      <c r="C1" s="52"/>
      <c r="D1" s="52"/>
      <c r="E1" s="52"/>
      <c r="F1" s="52"/>
      <c r="G1" s="52"/>
    </row>
    <row r="2" spans="1:7" ht="15.6">
      <c r="A2" s="110" t="s">
        <v>361</v>
      </c>
      <c r="B2" s="112"/>
      <c r="C2" s="112"/>
      <c r="D2" s="112"/>
      <c r="E2" s="112"/>
      <c r="F2" s="112"/>
      <c r="G2" s="112"/>
    </row>
    <row r="3" spans="1:7" ht="14.4">
      <c r="A3" s="52"/>
      <c r="B3" s="52"/>
      <c r="C3" s="52"/>
      <c r="D3" s="52"/>
      <c r="E3" s="52"/>
      <c r="F3" s="52"/>
      <c r="G3" s="52"/>
    </row>
    <row r="4" spans="1:7" ht="14.4">
      <c r="A4" s="53" t="s">
        <v>262</v>
      </c>
      <c r="B4" s="64" t="s">
        <v>344</v>
      </c>
      <c r="C4" s="64" t="s">
        <v>345</v>
      </c>
      <c r="D4" s="54" t="s">
        <v>365</v>
      </c>
      <c r="E4" s="52"/>
      <c r="F4" s="52"/>
      <c r="G4" s="52"/>
    </row>
    <row r="5" spans="1:7" ht="14.4">
      <c r="A5" s="57" t="s">
        <v>362</v>
      </c>
      <c r="B5" s="77" cm="1">
        <f t="array" ref="B5">MEDIAN(_xlfn._xlws.FILTER(Clean_Working!$W$2:$W$218,Clean_Working!$AZ$2:$AZ$218="High Growth"))</f>
        <v>60</v>
      </c>
      <c r="C5" s="77" cm="1">
        <f t="array" ref="C5">MEDIAN(_xlfn._xlws.FILTER(Clean_Working!$W$2:$W$218,Clean_Working!$AZ$2:$AZ$218="Low Growth"))</f>
        <v>80</v>
      </c>
      <c r="D5" s="78">
        <f>B5-C5</f>
        <v>-20</v>
      </c>
      <c r="E5" s="52"/>
      <c r="F5" s="52"/>
      <c r="G5" s="52"/>
    </row>
    <row r="6" spans="1:7" ht="14.4">
      <c r="A6" s="62" t="s">
        <v>363</v>
      </c>
      <c r="B6" s="79" cm="1">
        <f t="array" ref="B6">MEDIAN(_xlfn._xlws.FILTER(Clean_Working!$X$2:$X$218,Clean_Working!$AZ$2:$AZ$218="High Growth"))</f>
        <v>0</v>
      </c>
      <c r="C6" s="79" cm="1">
        <f t="array" ref="C6">MEDIAN(_xlfn._xlws.FILTER(Clean_Working!$X$2:$X$218,Clean_Working!$AZ$2:$AZ$218="Low Growth"))</f>
        <v>0</v>
      </c>
      <c r="D6" s="80">
        <f>B6-C6</f>
        <v>0</v>
      </c>
      <c r="E6" s="52"/>
      <c r="F6" s="52"/>
      <c r="G6" s="52"/>
    </row>
    <row r="7" spans="1:7" ht="14.4">
      <c r="A7" s="81"/>
      <c r="B7" s="82"/>
      <c r="C7" s="82"/>
      <c r="D7" s="83"/>
      <c r="E7" s="52"/>
      <c r="F7" s="52"/>
      <c r="G7" s="52"/>
    </row>
    <row r="8" spans="1:7" ht="14.4">
      <c r="A8" s="114" t="s">
        <v>376</v>
      </c>
      <c r="B8" s="114"/>
      <c r="C8" s="114"/>
      <c r="D8" s="83"/>
      <c r="E8" s="52"/>
      <c r="F8" s="52"/>
      <c r="G8" s="52"/>
    </row>
    <row r="9" spans="1:7" ht="14.4">
      <c r="A9" s="86" t="s">
        <v>262</v>
      </c>
      <c r="B9" s="87" t="s">
        <v>344</v>
      </c>
      <c r="C9" s="87" t="s">
        <v>345</v>
      </c>
      <c r="D9" s="88" t="s">
        <v>366</v>
      </c>
      <c r="E9" s="52"/>
      <c r="F9" s="52"/>
      <c r="G9" s="52"/>
    </row>
    <row r="10" spans="1:7" ht="14.4">
      <c r="A10" s="61" t="s">
        <v>367</v>
      </c>
      <c r="B10" s="84">
        <f>COUNTIFS(Clean_Working!$AZ$2:$AZ$218,"High Growth",Clean_Working!$AB$2:$AB$218,"Yes")/COUNTIF(Clean_Working!$AZ$2:$AZ$218,"High Growth")</f>
        <v>0.27659574468085107</v>
      </c>
      <c r="C10" s="84">
        <f>COUNTIFS(Clean_Working!$AZ$2:$AZ$218,"Low Growth",Clean_Working!$AB$2:$AB$218,"Yes")/COUNTIF(Clean_Working!$AZ$2:$AZ$218,"Low Growth")</f>
        <v>0.42553191489361702</v>
      </c>
      <c r="D10" s="85">
        <f>B10-C10</f>
        <v>-0.14893617021276595</v>
      </c>
      <c r="E10" s="52"/>
      <c r="F10" s="52"/>
      <c r="G10" s="52"/>
    </row>
    <row r="11" spans="1:7" ht="14.4">
      <c r="A11" s="61" t="s">
        <v>368</v>
      </c>
      <c r="B11" s="84">
        <f>COUNTIFS(Clean_Working!$AZ$2:$AZ$218,"High Growth",Clean_Working!$Z$2:$Z$218,"Yes")/COUNTIF(Clean_Working!$AZ$2:$AZ$218,"High Growth")</f>
        <v>0.25531914893617019</v>
      </c>
      <c r="C11" s="84">
        <f>COUNTIFS(Clean_Working!$AZ$2:$AZ$218,"Low Growth",Clean_Working!$Z$2:$Z$218,"Yes")/COUNTIF(Clean_Working!$AZ$2:$AZ$218,"Low Growth")</f>
        <v>0.23404255319148937</v>
      </c>
      <c r="D11" s="85">
        <f>B11-C11</f>
        <v>2.1276595744680826E-2</v>
      </c>
      <c r="E11" s="52"/>
      <c r="F11" s="52"/>
      <c r="G11" s="52"/>
    </row>
    <row r="12" spans="1:7" ht="14.4">
      <c r="A12" s="62" t="s">
        <v>364</v>
      </c>
      <c r="B12" s="89" cm="1">
        <f t="array" ref="B12">MEDIAN(_xlfn._xlws.FILTER(Clean_Working!$AW$2:$AW$218,Clean_Working!$AZ$2:$AZ$218="High Growth"))</f>
        <v>0</v>
      </c>
      <c r="C12" s="89" cm="1">
        <f t="array" ref="C12">MEDIAN(_xlfn._xlws.FILTER(Clean_Working!$AW$2:$AW$218,Clean_Working!$AZ$2:$AZ$218="Low Growth"))</f>
        <v>0</v>
      </c>
      <c r="D12" s="63">
        <f>B12-C12</f>
        <v>0</v>
      </c>
      <c r="E12" s="52"/>
      <c r="F12" s="52"/>
      <c r="G12" s="52"/>
    </row>
    <row r="13" spans="1:7" ht="14.4">
      <c r="A13" s="52"/>
      <c r="B13" s="52"/>
      <c r="C13" s="52"/>
      <c r="D13" s="52"/>
      <c r="E13" s="52"/>
      <c r="F13" s="52"/>
      <c r="G13" s="52"/>
    </row>
    <row r="14" spans="1:7" ht="14.4">
      <c r="A14" s="52"/>
      <c r="B14" s="52"/>
      <c r="C14" s="52"/>
      <c r="D14" s="52"/>
      <c r="E14" s="52"/>
      <c r="F14" s="52"/>
      <c r="G14" s="52"/>
    </row>
    <row r="15" spans="1:7" ht="14.4">
      <c r="A15" s="52"/>
      <c r="B15" s="52"/>
      <c r="C15" s="52"/>
      <c r="D15" s="52"/>
      <c r="E15" s="52"/>
      <c r="F15" s="52"/>
      <c r="G15" s="52"/>
    </row>
    <row r="16" spans="1:7" ht="14.4">
      <c r="A16" s="52"/>
      <c r="B16" s="52"/>
      <c r="C16" s="52"/>
      <c r="D16" s="52"/>
      <c r="E16" s="52"/>
      <c r="F16" s="52"/>
      <c r="G16" s="52"/>
    </row>
    <row r="17" spans="1:7" ht="14.4">
      <c r="A17" s="52"/>
      <c r="B17" s="52"/>
      <c r="C17" s="52"/>
      <c r="D17" s="52"/>
      <c r="E17" s="52"/>
      <c r="F17" s="52"/>
      <c r="G17" s="52"/>
    </row>
    <row r="18" spans="1:7" ht="14.4">
      <c r="A18" s="52"/>
      <c r="B18" s="52"/>
      <c r="C18" s="52"/>
      <c r="D18" s="52"/>
      <c r="E18" s="52"/>
      <c r="F18" s="52"/>
      <c r="G18" s="52"/>
    </row>
    <row r="19" spans="1:7" ht="14.4">
      <c r="A19" s="52"/>
      <c r="B19" s="52"/>
      <c r="C19" s="52"/>
      <c r="D19" s="52"/>
      <c r="E19" s="52"/>
      <c r="F19" s="52"/>
      <c r="G19" s="52"/>
    </row>
    <row r="20" spans="1:7" ht="14.4">
      <c r="A20" s="113" t="s">
        <v>375</v>
      </c>
      <c r="B20" s="113"/>
      <c r="C20" s="113"/>
      <c r="D20" s="52"/>
      <c r="E20" s="52"/>
      <c r="F20" s="52"/>
      <c r="G20" s="52"/>
    </row>
    <row r="21" spans="1:7" ht="14.4">
      <c r="A21" s="90" t="s">
        <v>262</v>
      </c>
      <c r="B21" s="91" t="s">
        <v>344</v>
      </c>
      <c r="C21" s="91" t="s">
        <v>345</v>
      </c>
      <c r="D21" s="92" t="s">
        <v>342</v>
      </c>
      <c r="E21" s="52"/>
      <c r="F21" s="52"/>
      <c r="G21" s="52"/>
    </row>
    <row r="22" spans="1:7" ht="14.4">
      <c r="A22" s="57" t="s">
        <v>369</v>
      </c>
      <c r="B22" s="56">
        <f>COUNTIFS(Clean_Working!$AZ$2:$AZ$218,B$21,Clean_Working!$Z$2:$Z$218,"Yes")</f>
        <v>12</v>
      </c>
      <c r="C22" s="56">
        <f>COUNTIFS(Clean_Working!$AZ$2:$AZ$218,C$21,Clean_Working!$Z$2:$Z$218,"Yes")</f>
        <v>11</v>
      </c>
      <c r="D22" s="58">
        <f>B22-C22</f>
        <v>1</v>
      </c>
      <c r="E22" s="52"/>
      <c r="F22" s="52"/>
      <c r="G22" s="52"/>
    </row>
    <row r="23" spans="1:7" ht="14.4">
      <c r="A23" s="57" t="s">
        <v>370</v>
      </c>
      <c r="B23" s="93" cm="1">
        <f t="array" ref="B23">MEDIAN(_xlfn._xlws.FILTER(Clean_Working!$AM$2:$AM$218,(Clean_Working!$AZ$2:$AZ$218=B$21)*(Clean_Working!$Z$2:$Z$218="Yes")*(Clean_Working!$AM$2:$AM$218&lt;&gt;"")))</f>
        <v>8750000</v>
      </c>
      <c r="C23" s="93" cm="1">
        <f t="array" ref="C23">MEDIAN(_xlfn._xlws.FILTER(Clean_Working!$AM$2:$AM$218,(Clean_Working!$AZ$2:$AZ$218=C$21)*(Clean_Working!$Z$2:$Z$218="Yes")*(Clean_Working!$AM$2:$AM$218&lt;&gt;"")))</f>
        <v>100000000</v>
      </c>
      <c r="D23" s="94">
        <f>B23-C23</f>
        <v>-91250000</v>
      </c>
      <c r="E23" s="52"/>
      <c r="F23" s="52"/>
      <c r="G23" s="52"/>
    </row>
    <row r="24" spans="1:7" ht="14.4">
      <c r="A24" s="57" t="s">
        <v>364</v>
      </c>
      <c r="B24" s="69" cm="1">
        <f t="array" ref="B24">MEDIAN(_xlfn._xlws.FILTER(Clean_Working!$AW$2:$AW$218,(Clean_Working!$AZ$2:$AZ$218=B$21)*(Clean_Working!$Z$2:$Z$218="Yes")*(Clean_Working!$AW$2:$AW$218&lt;&gt;"")))</f>
        <v>3.4983766233766228E-2</v>
      </c>
      <c r="C24" s="69" cm="1">
        <f t="array" ref="C24">MEDIAN(_xlfn._xlws.FILTER(Clean_Working!$AW$2:$AW$218,(Clean_Working!$AZ$2:$AZ$218=C$21)*(Clean_Working!$Z$2:$Z$218="Yes")*(Clean_Working!$AW$2:$AW$218&lt;&gt;"")))</f>
        <v>2.1176470588235293E-2</v>
      </c>
      <c r="D24" s="60">
        <f>B24-C24</f>
        <v>1.3807295645530935E-2</v>
      </c>
      <c r="E24" s="52"/>
      <c r="F24" s="52"/>
      <c r="G24" s="52"/>
    </row>
    <row r="25" spans="1:7" ht="14.4">
      <c r="A25" s="62" t="s">
        <v>371</v>
      </c>
      <c r="B25" s="89">
        <f>COUNTIFS(Clean_Working!$AZ$2:$AZ$218,B$21,Clean_Working!$Z$2:$Z$218,"Yes",Clean_Working!$AB$2:$AB$218,"Yes")/COUNTIFS(Clean_Working!$AZ$2:$AZ$218,B$21,Clean_Working!$Z$2:$Z$218,"Yes")</f>
        <v>0.5</v>
      </c>
      <c r="C25" s="89">
        <f>COUNTIFS(Clean_Working!$AZ$2:$AZ$218,C$21,Clean_Working!$Z$2:$Z$218,"Yes",Clean_Working!$AB$2:$AB$218,"Yes")/COUNTIFS(Clean_Working!$AZ$2:$AZ$218,C$21,Clean_Working!$Z$2:$Z$218,"Yes")</f>
        <v>0.63636363636363635</v>
      </c>
      <c r="D25" s="63">
        <f>B25-C25</f>
        <v>-0.13636363636363635</v>
      </c>
      <c r="E25" s="52"/>
      <c r="F25" s="52"/>
      <c r="G25" s="52"/>
    </row>
    <row r="26" spans="1:7" ht="14.4">
      <c r="A26" s="52"/>
      <c r="B26" s="52"/>
      <c r="C26" s="52"/>
      <c r="D26" s="52"/>
      <c r="E26" s="52"/>
      <c r="F26" s="52"/>
      <c r="G26" s="52"/>
    </row>
    <row r="27" spans="1:7" ht="14.4">
      <c r="A27" s="52"/>
      <c r="B27" s="52"/>
      <c r="C27" s="52"/>
      <c r="D27" s="52"/>
      <c r="E27" s="52"/>
      <c r="F27" s="52"/>
      <c r="G27" s="52"/>
    </row>
    <row r="28" spans="1:7" ht="14.4">
      <c r="A28" s="52"/>
      <c r="B28" s="52"/>
      <c r="C28" s="52"/>
      <c r="D28" s="52"/>
      <c r="E28" s="52"/>
      <c r="F28" s="52"/>
      <c r="G28" s="52"/>
    </row>
    <row r="29" spans="1:7" ht="14.4">
      <c r="A29" s="52"/>
      <c r="B29" s="52"/>
      <c r="C29" s="52"/>
      <c r="D29" s="52"/>
      <c r="E29" s="52"/>
      <c r="F29" s="52"/>
      <c r="G29" s="52"/>
    </row>
    <row r="30" spans="1:7" ht="14.4">
      <c r="A30" s="52"/>
      <c r="B30" s="52"/>
      <c r="C30" s="52"/>
      <c r="D30" s="52"/>
      <c r="E30" s="52"/>
      <c r="F30" s="52"/>
      <c r="G30" s="52"/>
    </row>
    <row r="31" spans="1:7" ht="14.4">
      <c r="A31" s="52"/>
      <c r="B31" s="52"/>
      <c r="C31" s="52"/>
      <c r="D31" s="52"/>
      <c r="E31" s="52"/>
      <c r="F31" s="52"/>
      <c r="G31" s="52"/>
    </row>
    <row r="32" spans="1:7" ht="14.4">
      <c r="A32" s="52"/>
      <c r="B32" s="52"/>
      <c r="C32" s="52"/>
      <c r="D32" s="52"/>
      <c r="E32" s="52"/>
      <c r="F32" s="52"/>
      <c r="G32" s="52"/>
    </row>
    <row r="33" spans="1:7" ht="14.4">
      <c r="A33" s="52"/>
      <c r="B33" s="52"/>
      <c r="C33" s="52"/>
      <c r="D33" s="52"/>
      <c r="E33" s="52"/>
      <c r="F33" s="52"/>
      <c r="G33" s="52"/>
    </row>
    <row r="34" spans="1:7" ht="14.4">
      <c r="A34" s="52"/>
      <c r="B34" s="52"/>
      <c r="C34" s="52"/>
      <c r="D34" s="52"/>
      <c r="E34" s="52"/>
      <c r="F34" s="52"/>
      <c r="G34" s="52"/>
    </row>
    <row r="35" spans="1:7" ht="14.4">
      <c r="A35" s="52"/>
      <c r="B35" s="52"/>
      <c r="C35" s="52"/>
      <c r="D35" s="52"/>
      <c r="E35" s="52"/>
      <c r="F35" s="52"/>
      <c r="G35" s="52"/>
    </row>
    <row r="36" spans="1:7" ht="14.4">
      <c r="A36" s="52"/>
      <c r="B36" s="52"/>
      <c r="C36" s="52"/>
      <c r="D36" s="52"/>
      <c r="E36" s="52"/>
      <c r="F36" s="52"/>
      <c r="G36" s="52"/>
    </row>
    <row r="37" spans="1:7" ht="14.4">
      <c r="A37" s="52"/>
      <c r="B37" s="52"/>
      <c r="C37" s="52"/>
      <c r="D37" s="52"/>
      <c r="E37" s="52"/>
      <c r="F37" s="52"/>
      <c r="G37" s="52"/>
    </row>
    <row r="38" spans="1:7" ht="14.4">
      <c r="A38" s="108" t="s">
        <v>377</v>
      </c>
      <c r="B38" s="108"/>
      <c r="C38" s="108"/>
      <c r="D38" s="52"/>
      <c r="E38" s="52"/>
      <c r="F38" s="52"/>
      <c r="G38" s="52"/>
    </row>
    <row r="39" spans="1:7" ht="14.4">
      <c r="A39" s="90" t="s">
        <v>262</v>
      </c>
      <c r="B39" s="91" t="s">
        <v>344</v>
      </c>
      <c r="C39" s="91" t="s">
        <v>345</v>
      </c>
      <c r="D39" s="92" t="s">
        <v>342</v>
      </c>
      <c r="E39" s="52"/>
      <c r="F39" s="52"/>
      <c r="G39" s="52"/>
    </row>
    <row r="40" spans="1:7" ht="14.4">
      <c r="A40" s="57" t="s">
        <v>372</v>
      </c>
      <c r="B40" s="95">
        <f>AVERAGEIFS(Clean_Working!$W$2:$W$218,Clean_Working!$AZ$2:$AZ$218,B$39)</f>
        <v>58.957446808510639</v>
      </c>
      <c r="C40" s="95">
        <f>AVERAGEIFS(Clean_Working!$W$2:$W$218,Clean_Working!$AZ$2:$AZ$218,C$39)</f>
        <v>70.282608695652172</v>
      </c>
      <c r="D40" s="96">
        <f>B40-C40</f>
        <v>-11.325161887141533</v>
      </c>
      <c r="E40" s="52"/>
      <c r="F40" s="52"/>
      <c r="G40" s="52"/>
    </row>
    <row r="41" spans="1:7" ht="14.4">
      <c r="A41" s="57" t="s">
        <v>373</v>
      </c>
      <c r="B41" s="95">
        <f>AVERAGEIFS(Clean_Working!$X$2:$X$218,Clean_Working!$AZ$2:$AZ$218,B$39)</f>
        <v>7.0212765957446805</v>
      </c>
      <c r="C41" s="95">
        <f>AVERAGEIFS(Clean_Working!$X$2:$X$218,Clean_Working!$AZ$2:$AZ$218,C$39)</f>
        <v>10.586956521739131</v>
      </c>
      <c r="D41" s="96">
        <f>B41-C41</f>
        <v>-3.5656799259944503</v>
      </c>
      <c r="E41" s="52"/>
      <c r="F41" s="52"/>
      <c r="G41" s="52"/>
    </row>
    <row r="42" spans="1:7" ht="14.4">
      <c r="A42" s="62" t="s">
        <v>374</v>
      </c>
      <c r="B42" s="97">
        <f>AVERAGEIFS(Clean_Working!$Y$2:$Y$218,Clean_Working!$AZ$2:$AZ$218,B$39)</f>
        <v>11.468085106382979</v>
      </c>
      <c r="C42" s="97">
        <f>AVERAGEIFS(Clean_Working!$Y$2:$Y$218,Clean_Working!$AZ$2:$AZ$218,C$39)</f>
        <v>6.4565217391304346</v>
      </c>
      <c r="D42" s="98">
        <f>B42-C42</f>
        <v>5.0115633672525446</v>
      </c>
      <c r="E42" s="52"/>
      <c r="F42" s="52"/>
      <c r="G42" s="52"/>
    </row>
    <row r="43" spans="1:7" ht="14.4">
      <c r="A43" s="52"/>
      <c r="B43" s="52"/>
      <c r="C43" s="52"/>
      <c r="D43" s="52"/>
      <c r="E43" s="52"/>
      <c r="F43" s="52"/>
      <c r="G43" s="52"/>
    </row>
    <row r="44" spans="1:7" ht="14.4">
      <c r="A44" s="52"/>
      <c r="B44" s="52"/>
      <c r="C44" s="52"/>
      <c r="D44" s="52"/>
      <c r="E44" s="52"/>
      <c r="F44" s="52"/>
      <c r="G44" s="52"/>
    </row>
    <row r="45" spans="1:7" ht="14.4">
      <c r="A45" s="52"/>
      <c r="B45" s="52"/>
      <c r="C45" s="52"/>
      <c r="D45" s="52"/>
      <c r="E45" s="52"/>
      <c r="F45" s="52"/>
      <c r="G45" s="52"/>
    </row>
    <row r="46" spans="1:7" ht="14.4">
      <c r="A46" s="52"/>
      <c r="B46" s="52"/>
      <c r="C46" s="52"/>
      <c r="D46" s="52"/>
      <c r="E46" s="52"/>
      <c r="F46" s="52"/>
      <c r="G46" s="52"/>
    </row>
    <row r="47" spans="1:7" ht="14.4">
      <c r="A47" s="52"/>
      <c r="B47" s="52"/>
      <c r="C47" s="52"/>
      <c r="D47" s="52"/>
      <c r="E47" s="52"/>
      <c r="F47" s="52"/>
      <c r="G47" s="52"/>
    </row>
    <row r="48" spans="1:7" ht="14.4">
      <c r="A48" s="52"/>
      <c r="B48" s="52"/>
      <c r="C48" s="52"/>
      <c r="D48" s="52"/>
      <c r="E48" s="52"/>
      <c r="F48" s="52"/>
      <c r="G48" s="52"/>
    </row>
    <row r="49" spans="1:7" ht="14.4">
      <c r="A49" s="52"/>
      <c r="B49" s="52"/>
      <c r="C49" s="52"/>
      <c r="D49" s="52"/>
      <c r="E49" s="52"/>
      <c r="F49" s="52"/>
      <c r="G49" s="52"/>
    </row>
    <row r="50" spans="1:7" ht="14.4">
      <c r="A50" s="52"/>
      <c r="B50" s="52"/>
      <c r="C50" s="52"/>
      <c r="D50" s="52"/>
      <c r="E50" s="52"/>
      <c r="F50" s="52"/>
      <c r="G50" s="52"/>
    </row>
    <row r="51" spans="1:7" ht="14.4">
      <c r="A51" s="52"/>
      <c r="B51" s="52"/>
      <c r="C51" s="52"/>
      <c r="D51" s="52"/>
      <c r="E51" s="52"/>
      <c r="F51" s="52"/>
      <c r="G51" s="52"/>
    </row>
    <row r="52" spans="1:7" ht="14.4">
      <c r="A52" s="52"/>
      <c r="B52" s="52"/>
      <c r="C52" s="52"/>
      <c r="D52" s="52"/>
      <c r="E52" s="52"/>
      <c r="F52" s="52"/>
      <c r="G52" s="52"/>
    </row>
    <row r="53" spans="1:7" ht="14.4">
      <c r="A53" s="52"/>
      <c r="B53" s="52"/>
      <c r="C53" s="52"/>
      <c r="D53" s="52"/>
      <c r="E53" s="52"/>
      <c r="F53" s="52"/>
      <c r="G53" s="52"/>
    </row>
    <row r="54" spans="1:7" ht="14.4">
      <c r="A54" s="52"/>
      <c r="B54" s="52"/>
      <c r="C54" s="52"/>
      <c r="D54" s="52"/>
      <c r="E54" s="52"/>
      <c r="F54" s="52"/>
      <c r="G54" s="52"/>
    </row>
    <row r="55" spans="1:7" ht="14.4">
      <c r="A55" s="52"/>
      <c r="B55" s="52"/>
      <c r="C55" s="52"/>
      <c r="D55" s="52"/>
      <c r="E55" s="52"/>
      <c r="F55" s="52"/>
      <c r="G55" s="52"/>
    </row>
    <row r="56" spans="1:7" ht="14.4">
      <c r="A56" s="52"/>
      <c r="B56" s="52"/>
      <c r="C56" s="52"/>
      <c r="D56" s="52"/>
      <c r="E56" s="52"/>
      <c r="F56" s="52"/>
      <c r="G56" s="52"/>
    </row>
    <row r="57" spans="1:7" ht="14.4">
      <c r="A57" s="52"/>
      <c r="B57" s="52"/>
      <c r="C57" s="52"/>
      <c r="D57" s="52"/>
      <c r="E57" s="52"/>
      <c r="F57" s="52"/>
      <c r="G57" s="52"/>
    </row>
    <row r="58" spans="1:7" ht="14.4">
      <c r="A58" s="52"/>
      <c r="B58" s="52"/>
      <c r="C58" s="52"/>
      <c r="D58" s="52"/>
      <c r="E58" s="52"/>
      <c r="F58" s="52"/>
      <c r="G58" s="52"/>
    </row>
    <row r="59" spans="1:7" ht="14.4">
      <c r="A59" s="52"/>
      <c r="B59" s="52"/>
      <c r="C59" s="52"/>
      <c r="D59" s="52"/>
      <c r="E59" s="52"/>
      <c r="F59" s="52"/>
      <c r="G59" s="52"/>
    </row>
    <row r="60" spans="1:7" ht="14.4">
      <c r="A60" s="52"/>
      <c r="B60" s="52"/>
      <c r="C60" s="52"/>
      <c r="D60" s="52"/>
      <c r="E60" s="52"/>
      <c r="F60" s="52"/>
      <c r="G60" s="52"/>
    </row>
    <row r="61" spans="1:7" ht="14.4">
      <c r="A61" s="52"/>
      <c r="B61" s="52"/>
      <c r="C61" s="52"/>
      <c r="D61" s="52"/>
      <c r="E61" s="52"/>
      <c r="F61" s="52"/>
      <c r="G61" s="52"/>
    </row>
    <row r="62" spans="1:7" ht="14.4">
      <c r="A62" s="52"/>
      <c r="B62" s="52"/>
      <c r="C62" s="52"/>
      <c r="D62" s="52"/>
      <c r="E62" s="52"/>
      <c r="F62" s="52"/>
      <c r="G62" s="52"/>
    </row>
    <row r="63" spans="1:7" ht="14.4">
      <c r="A63" s="52"/>
      <c r="B63" s="52"/>
      <c r="C63" s="52"/>
      <c r="D63" s="52"/>
      <c r="E63" s="52"/>
      <c r="F63" s="52"/>
      <c r="G63" s="52"/>
    </row>
    <row r="64" spans="1:7" ht="14.4">
      <c r="A64" s="52"/>
      <c r="B64" s="52"/>
      <c r="C64" s="52"/>
      <c r="D64" s="52"/>
      <c r="E64" s="52"/>
      <c r="F64" s="52"/>
      <c r="G64" s="52"/>
    </row>
    <row r="65" spans="1:7" ht="14.4">
      <c r="A65" s="52"/>
      <c r="B65" s="52"/>
      <c r="C65" s="52"/>
      <c r="D65" s="52"/>
      <c r="E65" s="52"/>
      <c r="F65" s="52"/>
      <c r="G65" s="52"/>
    </row>
    <row r="66" spans="1:7" ht="14.4">
      <c r="A66" s="52"/>
      <c r="B66" s="52"/>
      <c r="C66" s="52"/>
      <c r="D66" s="52"/>
      <c r="E66" s="52"/>
      <c r="F66" s="52"/>
      <c r="G66" s="52"/>
    </row>
    <row r="67" spans="1:7" ht="14.4">
      <c r="A67" s="52"/>
      <c r="B67" s="52"/>
      <c r="C67" s="52"/>
      <c r="D67" s="52"/>
      <c r="E67" s="52"/>
      <c r="F67" s="52"/>
      <c r="G67" s="52"/>
    </row>
    <row r="68" spans="1:7" ht="14.4">
      <c r="A68" s="52"/>
      <c r="B68" s="52"/>
      <c r="C68" s="52"/>
      <c r="D68" s="52"/>
      <c r="E68" s="52"/>
      <c r="F68" s="52"/>
      <c r="G68" s="52"/>
    </row>
    <row r="69" spans="1:7" ht="14.4">
      <c r="A69" s="52"/>
      <c r="B69" s="52"/>
      <c r="C69" s="52"/>
      <c r="D69" s="52"/>
      <c r="E69" s="52"/>
      <c r="F69" s="52"/>
      <c r="G69" s="52"/>
    </row>
    <row r="70" spans="1:7" ht="14.4">
      <c r="A70" s="52"/>
      <c r="B70" s="52"/>
      <c r="C70" s="52"/>
      <c r="D70" s="52"/>
      <c r="E70" s="52"/>
      <c r="F70" s="52"/>
      <c r="G70" s="52"/>
    </row>
    <row r="71" spans="1:7" ht="14.4">
      <c r="A71" s="52"/>
      <c r="B71" s="52"/>
      <c r="C71" s="52"/>
      <c r="D71" s="52"/>
      <c r="E71" s="52"/>
      <c r="F71" s="52"/>
      <c r="G71" s="52"/>
    </row>
    <row r="72" spans="1:7" ht="14.4">
      <c r="A72" s="52"/>
      <c r="B72" s="52"/>
      <c r="C72" s="52"/>
      <c r="D72" s="52"/>
      <c r="E72" s="52"/>
      <c r="F72" s="52"/>
      <c r="G72" s="52"/>
    </row>
    <row r="73" spans="1:7" ht="14.4">
      <c r="A73" s="52"/>
      <c r="B73" s="52"/>
      <c r="C73" s="52"/>
      <c r="D73" s="52"/>
      <c r="E73" s="52"/>
      <c r="F73" s="52"/>
      <c r="G73" s="52"/>
    </row>
    <row r="74" spans="1:7" ht="14.4">
      <c r="A74" s="52"/>
      <c r="B74" s="52"/>
      <c r="C74" s="52"/>
      <c r="D74" s="52"/>
      <c r="E74" s="52"/>
      <c r="F74" s="52"/>
      <c r="G74" s="52"/>
    </row>
    <row r="75" spans="1:7" ht="14.4">
      <c r="A75" s="52"/>
      <c r="B75" s="52"/>
      <c r="C75" s="52"/>
      <c r="D75" s="52"/>
      <c r="E75" s="52"/>
      <c r="F75" s="52"/>
      <c r="G75" s="52"/>
    </row>
    <row r="76" spans="1:7" ht="14.4">
      <c r="A76" s="52"/>
      <c r="B76" s="52"/>
      <c r="C76" s="52"/>
      <c r="D76" s="52"/>
      <c r="E76" s="52"/>
      <c r="F76" s="52"/>
      <c r="G76" s="52"/>
    </row>
    <row r="77" spans="1:7" ht="14.4">
      <c r="A77" s="52"/>
      <c r="B77" s="52"/>
      <c r="C77" s="52"/>
      <c r="D77" s="52"/>
      <c r="E77" s="52"/>
      <c r="F77" s="52"/>
      <c r="G77" s="52"/>
    </row>
    <row r="78" spans="1:7" ht="14.4">
      <c r="A78" s="52"/>
      <c r="B78" s="52"/>
      <c r="C78" s="52"/>
      <c r="D78" s="52"/>
      <c r="E78" s="52"/>
      <c r="F78" s="52"/>
      <c r="G78" s="52"/>
    </row>
  </sheetData>
  <mergeCells count="4">
    <mergeCell ref="A2:G2"/>
    <mergeCell ref="A20:C20"/>
    <mergeCell ref="A8:C8"/>
    <mergeCell ref="A38:C38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1C8-CCAD-4BE2-B0FD-F22B58AA75FF}">
  <dimension ref="A1:D37"/>
  <sheetViews>
    <sheetView topLeftCell="A18" workbookViewId="0">
      <selection activeCell="F20" sqref="F20"/>
    </sheetView>
  </sheetViews>
  <sheetFormatPr defaultRowHeight="13.8"/>
  <cols>
    <col min="1" max="1" width="37.796875" bestFit="1" customWidth="1"/>
    <col min="2" max="2" width="16.09765625" bestFit="1" customWidth="1"/>
    <col min="3" max="3" width="11.5" bestFit="1" customWidth="1"/>
    <col min="4" max="4" width="14.19921875" bestFit="1" customWidth="1"/>
    <col min="5" max="5" width="7.59765625" bestFit="1" customWidth="1"/>
    <col min="6" max="6" width="11" bestFit="1" customWidth="1"/>
  </cols>
  <sheetData>
    <row r="1" spans="1:4" ht="15.6">
      <c r="A1" s="76" t="s">
        <v>378</v>
      </c>
    </row>
    <row r="2" spans="1:4" ht="15.6">
      <c r="A2" s="76"/>
    </row>
    <row r="3" spans="1:4" ht="14.4">
      <c r="A3" s="107" t="s">
        <v>390</v>
      </c>
      <c r="B3" s="107"/>
      <c r="C3" s="107"/>
      <c r="D3" s="107"/>
    </row>
    <row r="4" spans="1:4" ht="14.4">
      <c r="A4" s="99" t="s">
        <v>379</v>
      </c>
      <c r="B4" s="100" t="s">
        <v>344</v>
      </c>
      <c r="C4" s="100" t="s">
        <v>345</v>
      </c>
      <c r="D4" s="101" t="s">
        <v>380</v>
      </c>
    </row>
    <row r="5" spans="1:4" ht="14.4">
      <c r="A5" s="57" t="s">
        <v>63</v>
      </c>
      <c r="B5" s="103" cm="1">
        <f t="array" ref="B5">_xlfn.LET(_xlpm.x,_xlfn._xlws.FILTER(Clean_Working!$AF$2:$AF$218,(Clean_Working!$AZ$2:$AZ$218=B$4)*(Clean_Working!$AF$2:$AF$218&lt;&gt;"")),AVERAGE(_xlfn.XMATCH(_xlpm.x,{"No obstacle","Minor obstacle","Moderate obstacle","Major obstacle","Very severe obstacle"})-1))</f>
        <v>1.5319148936170213</v>
      </c>
      <c r="C5" s="103" cm="1">
        <f t="array" ref="C5">_xlfn.LET(_xlpm.x,_xlfn._xlws.FILTER(Clean_Working!$AF$2:$AF$218,(Clean_Working!$AZ$2:$AZ$218=C$4)*(Clean_Working!$AF$2:$AF$218&lt;&gt;"")),AVERAGE(_xlfn.XMATCH(_xlpm.x,{"No obstacle","Minor obstacle","Moderate obstacle","Major obstacle","Very severe obstacle"})-1))</f>
        <v>1.9787234042553192</v>
      </c>
      <c r="D5" s="104">
        <f>C5-B5</f>
        <v>0.44680851063829796</v>
      </c>
    </row>
    <row r="6" spans="1:4" ht="14.4">
      <c r="A6" s="57" t="s">
        <v>381</v>
      </c>
      <c r="B6" s="103" cm="1">
        <f t="array" ref="B6">_xlfn.LET(_xlpm.x,_xlfn._xlws.FILTER(Clean_Working!$AG$2:$AG$218,(Clean_Working!$AZ$2:$AZ$218=B$4)*(Clean_Working!$AG$2:$AG$218&lt;&gt;"")),AVERAGE(_xlfn.XMATCH(_xlpm.x,{"No obstacle","Minor obstacle","Moderate obstacle","Major obstacle","Very severe obstacle"})-1))</f>
        <v>1.7021276595744681</v>
      </c>
      <c r="C6" s="103" cm="1">
        <f t="array" ref="C6">_xlfn.LET(_xlpm.x,_xlfn._xlws.FILTER(Clean_Working!$AG$2:$AG$218,(Clean_Working!$AZ$2:$AZ$218=C$4)*(Clean_Working!$AG$2:$AG$218&lt;&gt;"")),AVERAGE(_xlfn.XMATCH(_xlpm.x,{"No obstacle","Minor obstacle","Moderate obstacle","Major obstacle","Very severe obstacle"})-1))</f>
        <v>1.7173913043478262</v>
      </c>
      <c r="D6" s="104">
        <f>C6-B6</f>
        <v>1.5263644773358065E-2</v>
      </c>
    </row>
    <row r="7" spans="1:4" ht="14.4">
      <c r="A7" s="57" t="s">
        <v>382</v>
      </c>
      <c r="B7" s="103" cm="1">
        <f t="array" ref="B7">_xlfn.LET(_xlpm.x,_xlfn._xlws.FILTER(Clean_Working!$AH$2:$AH$218,(Clean_Working!$AZ$2:$AZ$218=B$4)*(Clean_Working!$AH$2:$AH$218&lt;&gt;"")),AVERAGE(_xlfn.XMATCH(_xlpm.x,{"No obstacle","Minor obstacle","Moderate obstacle","Major obstacle","Very severe obstacle"})-1))</f>
        <v>0.55319148936170215</v>
      </c>
      <c r="C7" s="103" cm="1">
        <f t="array" ref="C7">_xlfn.LET(_xlpm.x,_xlfn._xlws.FILTER(Clean_Working!$AH$2:$AH$218,(Clean_Working!$AZ$2:$AZ$218=C$4)*(Clean_Working!$AH$2:$AH$218&lt;&gt;"")),AVERAGE(_xlfn.XMATCH(_xlpm.x,{"No obstacle","Minor obstacle","Moderate obstacle","Major obstacle","Very severe obstacle"})-1))</f>
        <v>0.68085106382978722</v>
      </c>
      <c r="D7" s="104">
        <f>C7-B7</f>
        <v>0.12765957446808507</v>
      </c>
    </row>
    <row r="8" spans="1:4" ht="14.4">
      <c r="A8" s="62" t="s">
        <v>383</v>
      </c>
      <c r="B8" s="105" cm="1">
        <f t="array" ref="B8">_xlfn.LET(_xlpm.x,_xlfn._xlws.FILTER(Clean_Working!$AI$2:$AI$218,(Clean_Working!$AZ$2:$AZ$218=B$4)*(Clean_Working!$AI$2:$AI$218&lt;&gt;"")),AVERAGE(_xlfn.XMATCH(_xlpm.x,{"No obstacle","Minor obstacle","Moderate obstacle","Major obstacle","Very severe obstacle"})-1))</f>
        <v>1.6170212765957446</v>
      </c>
      <c r="C8" s="105" cm="1">
        <f t="array" ref="C8">_xlfn.LET(_xlpm.x,_xlfn._xlws.FILTER(Clean_Working!$AI$2:$AI$218,(Clean_Working!$AZ$2:$AZ$218=C$4)*(Clean_Working!$AI$2:$AI$218&lt;&gt;"")),AVERAGE(_xlfn.XMATCH(_xlpm.x,{"No obstacle","Minor obstacle","Moderate obstacle","Major obstacle","Very severe obstacle"})-1))</f>
        <v>1.5813953488372092</v>
      </c>
      <c r="D8" s="106">
        <f>C8-B8</f>
        <v>-3.5625927758535347E-2</v>
      </c>
    </row>
    <row r="10" spans="1:4" ht="14.4">
      <c r="A10" s="107" t="s">
        <v>385</v>
      </c>
      <c r="B10" s="107"/>
      <c r="C10" s="107"/>
      <c r="D10" s="107"/>
    </row>
    <row r="11" spans="1:4">
      <c r="A11" s="46" t="s">
        <v>379</v>
      </c>
      <c r="B11" s="47" t="s">
        <v>344</v>
      </c>
      <c r="C11" s="47" t="s">
        <v>345</v>
      </c>
      <c r="D11" s="48" t="s">
        <v>391</v>
      </c>
    </row>
    <row r="12" spans="1:4">
      <c r="A12" s="44" t="s">
        <v>63</v>
      </c>
      <c r="B12" s="75">
        <f>(COUNTIFS(Clean_Working!$AZ$2:$AZ$218,B$11,Clean_Working!$AF$2:$AF$218,"Major obstacle")+COUNTIFS(Clean_Working!$AZ$2:$AZ$218,B$11,Clean_Working!$AF$2:$AF$218,"Very severe obstacle"))/COUNTIFS(Clean_Working!$AZ$2:$AZ$218,B$11,Clean_Working!$AF$2:$AF$218,"&lt;&gt;")</f>
        <v>0.27659574468085107</v>
      </c>
      <c r="C12" s="75">
        <f>(COUNTIFS(Clean_Working!$AZ$2:$AZ$218,C$11,Clean_Working!$AF$2:$AF$218,"Major obstacle")+COUNTIFS(Clean_Working!$AZ$2:$AZ$218,C$11,Clean_Working!$AF$2:$AF$218,"Very severe obstacle"))/COUNTIFS(Clean_Working!$AZ$2:$AZ$218,C$11,Clean_Working!$AF$2:$AF$218,"&lt;&gt;")</f>
        <v>0.36170212765957449</v>
      </c>
      <c r="D12" s="102">
        <f>C12-B12</f>
        <v>8.5106382978723416E-2</v>
      </c>
    </row>
    <row r="13" spans="1:4">
      <c r="A13" s="44" t="s">
        <v>381</v>
      </c>
      <c r="B13" s="75">
        <f>(COUNTIFS(Clean_Working!$AZ$2:$AZ$218,B$11,Clean_Working!$AG$2:$AG$218,"Major obstacle")+COUNTIFS(Clean_Working!$AZ$2:$AZ$218,B$11,Clean_Working!$AG$2:$AG$218,"Very severe obstacle"))/COUNTIFS(Clean_Working!$AZ$2:$AZ$218,B$11,Clean_Working!$AG$2:$AG$218,"&lt;&gt;")</f>
        <v>0.34042553191489361</v>
      </c>
      <c r="C13" s="75">
        <f>(COUNTIFS(Clean_Working!$AZ$2:$AZ$218,C$11,Clean_Working!$AG$2:$AG$218,"Major obstacle")+COUNTIFS(Clean_Working!$AZ$2:$AZ$218,C$11,Clean_Working!$AG$2:$AG$218,"Very severe obstacle"))/COUNTIFS(Clean_Working!$AZ$2:$AZ$218,C$11,Clean_Working!$AG$2:$AG$218,"&lt;&gt;")</f>
        <v>0.34782608695652173</v>
      </c>
      <c r="D13" s="102">
        <f>C13-B13</f>
        <v>7.4005550416281207E-3</v>
      </c>
    </row>
    <row r="14" spans="1:4">
      <c r="A14" s="44" t="s">
        <v>382</v>
      </c>
      <c r="B14" s="75">
        <f>(COUNTIFS(Clean_Working!$AZ$2:$AZ$218,B$11,Clean_Working!$AH$2:$AH$218,"Major obstacle")+COUNTIFS(Clean_Working!$AZ$2:$AZ$218,B$11,Clean_Working!$AH$2:$AH$218,"Very severe obstacle"))/COUNTIFS(Clean_Working!$AZ$2:$AZ$218,B$11,Clean_Working!$AH$2:$AH$218,"&lt;&gt;")</f>
        <v>4.2553191489361701E-2</v>
      </c>
      <c r="C14" s="75">
        <f>(COUNTIFS(Clean_Working!$AZ$2:$AZ$218,C$11,Clean_Working!$AH$2:$AH$218,"Major obstacle")+COUNTIFS(Clean_Working!$AZ$2:$AZ$218,C$11,Clean_Working!$AH$2:$AH$218,"Very severe obstacle"))/COUNTIFS(Clean_Working!$AZ$2:$AZ$218,C$11,Clean_Working!$AH$2:$AH$218,"&lt;&gt;")</f>
        <v>8.5106382978723402E-2</v>
      </c>
      <c r="D14" s="102">
        <f>C14-B14</f>
        <v>4.2553191489361701E-2</v>
      </c>
    </row>
    <row r="15" spans="1:4">
      <c r="A15" s="49" t="s">
        <v>383</v>
      </c>
      <c r="B15" s="75">
        <f>(COUNTIFS(Clean_Working!$AZ$2:$AZ$218,B$11,Clean_Working!$AI$2:$AI$218,"Major obstacle")+COUNTIFS(Clean_Working!$AZ$2:$AZ$218,B$11,Clean_Working!$AI$2:$AI$218,"Very severe obstacle"))/COUNTIFS(Clean_Working!$AZ$2:$AZ$218,B$11,Clean_Working!$AI$2:$AI$218,"&lt;&gt;")</f>
        <v>0.2978723404255319</v>
      </c>
      <c r="C15" s="75">
        <f>(COUNTIFS(Clean_Working!$AZ$2:$AZ$218,C$11,Clean_Working!$AI$2:$AI$218,"Major obstacle")+COUNTIFS(Clean_Working!$AZ$2:$AZ$218,C$11,Clean_Working!$AI$2:$AI$218,"Very severe obstacle"))/COUNTIFS(Clean_Working!$AZ$2:$AZ$218,C$11,Clean_Working!$AI$2:$AI$218,"&lt;&gt;")</f>
        <v>0.23255813953488372</v>
      </c>
      <c r="D15" s="102">
        <f>C15-B15</f>
        <v>-6.5314200890648183E-2</v>
      </c>
    </row>
    <row r="18" spans="1:4" ht="14.4">
      <c r="A18" s="107" t="s">
        <v>384</v>
      </c>
      <c r="B18" s="107"/>
      <c r="C18" s="107"/>
      <c r="D18" s="107"/>
    </row>
    <row r="19" spans="1:4" ht="14.4">
      <c r="A19" s="53" t="s">
        <v>262</v>
      </c>
      <c r="B19" s="64" t="s">
        <v>344</v>
      </c>
      <c r="C19" s="64" t="s">
        <v>345</v>
      </c>
      <c r="D19" s="54" t="s">
        <v>342</v>
      </c>
    </row>
    <row r="20" spans="1:4" ht="14.4">
      <c r="A20" s="57" t="s">
        <v>386</v>
      </c>
      <c r="B20" s="103">
        <f>COUNTIFS(Clean_Working!$AZ$2:$AZ$218,B$19,Clean_Working!$AD$2:$AD$218,"Yes")/COUNTIFS(Clean_Working!$AZ$2:$AZ$218,B$19,Clean_Working!$AD$2:$AD$218,"&lt;&gt;")</f>
        <v>0.74468085106382975</v>
      </c>
      <c r="C20" s="103">
        <f>COUNTIFS(Clean_Working!$AZ$2:$AZ$218,C$19,Clean_Working!$AD$2:$AD$218,"Yes")/COUNTIFS(Clean_Working!$AZ$2:$AZ$218,C$19,Clean_Working!$AD$2:$AD$218,"&lt;&gt;")</f>
        <v>0.80851063829787229</v>
      </c>
      <c r="D20" s="104">
        <f>C20-B20</f>
        <v>6.3829787234042534E-2</v>
      </c>
    </row>
    <row r="21" spans="1:4" ht="14.4">
      <c r="A21" s="57" t="s">
        <v>387</v>
      </c>
      <c r="B21" s="56" cm="1">
        <f t="array" ref="B21">MEDIAN(_xlfn._xlws.FILTER(Clean_Working!$AN$2:$AN$218,(Clean_Working!$AZ$2:$AZ$218=B$19)*(Clean_Working!$AN$2:$AN$218&lt;&gt;"")))</f>
        <v>3</v>
      </c>
      <c r="C21" s="56" cm="1">
        <f t="array" ref="C21">MEDIAN(_xlfn._xlws.FILTER(Clean_Working!$AN$2:$AN$218,(Clean_Working!$AZ$2:$AZ$218=C$19)*(Clean_Working!$AN$2:$AN$218&lt;&gt;"")))</f>
        <v>5</v>
      </c>
      <c r="D21" s="58">
        <f>C21-B21</f>
        <v>2</v>
      </c>
    </row>
    <row r="22" spans="1:4" ht="14.4">
      <c r="A22" s="62" t="s">
        <v>388</v>
      </c>
      <c r="B22" s="72" cm="1">
        <f t="array" ref="B22">MEDIAN(_xlfn._xlws.FILTER(Clean_Working!$AN$2:$AN$218,(Clean_Working!$AZ$2:$AZ$218=B$19)*(Clean_Working!$AD$2:$AD$218="Yes")*(Clean_Working!$AN$2:$AN$218&lt;&gt;"")))</f>
        <v>5</v>
      </c>
      <c r="C22" s="72" cm="1">
        <f t="array" ref="C22">MEDIAN(_xlfn._xlws.FILTER(Clean_Working!$AN$2:$AN$218,(Clean_Working!$AZ$2:$AZ$218=C$19)*(Clean_Working!$AD$2:$AD$218="Yes")*(Clean_Working!$AN$2:$AN$218&lt;&gt;"")))</f>
        <v>6.5</v>
      </c>
      <c r="D22" s="73">
        <f>C22-B22</f>
        <v>1.5</v>
      </c>
    </row>
    <row r="25" spans="1:4" ht="14.4">
      <c r="A25" s="107" t="s">
        <v>389</v>
      </c>
      <c r="B25" s="107"/>
      <c r="C25" s="107"/>
      <c r="D25" s="107"/>
    </row>
    <row r="26" spans="1:4">
      <c r="A26" s="37" t="s">
        <v>303</v>
      </c>
      <c r="B26" s="37" t="s">
        <v>353</v>
      </c>
    </row>
    <row r="27" spans="1:4">
      <c r="A27" s="37" t="s">
        <v>301</v>
      </c>
      <c r="B27" t="s">
        <v>344</v>
      </c>
      <c r="C27" t="s">
        <v>345</v>
      </c>
      <c r="D27" t="s">
        <v>302</v>
      </c>
    </row>
    <row r="28" spans="1:4">
      <c r="A28" s="38" t="s">
        <v>70</v>
      </c>
      <c r="B28" s="31">
        <v>0.25531914893617019</v>
      </c>
      <c r="C28" s="31">
        <v>0.1276595744680851</v>
      </c>
      <c r="D28" s="31">
        <v>0.19148936170212766</v>
      </c>
    </row>
    <row r="29" spans="1:4">
      <c r="A29" s="38" t="s">
        <v>81</v>
      </c>
      <c r="B29" s="31">
        <v>2.1276595744680851E-2</v>
      </c>
      <c r="C29" s="31">
        <v>8.5106382978723402E-2</v>
      </c>
      <c r="D29" s="31">
        <v>5.3191489361702128E-2</v>
      </c>
    </row>
    <row r="30" spans="1:4">
      <c r="A30" s="38" t="s">
        <v>68</v>
      </c>
      <c r="B30" s="31">
        <v>6.3829787234042548E-2</v>
      </c>
      <c r="C30" s="31">
        <v>4.2553191489361701E-2</v>
      </c>
      <c r="D30" s="31">
        <v>5.3191489361702128E-2</v>
      </c>
    </row>
    <row r="31" spans="1:4">
      <c r="A31" s="38" t="s">
        <v>86</v>
      </c>
      <c r="B31" s="31">
        <v>6.3829787234042548E-2</v>
      </c>
      <c r="C31" s="31">
        <v>0</v>
      </c>
      <c r="D31" s="31">
        <v>3.1914893617021274E-2</v>
      </c>
    </row>
    <row r="32" spans="1:4">
      <c r="A32" s="38" t="s">
        <v>77</v>
      </c>
      <c r="B32" s="31">
        <v>2.1276595744680851E-2</v>
      </c>
      <c r="C32" s="31">
        <v>4.2553191489361701E-2</v>
      </c>
      <c r="D32" s="31">
        <v>3.1914893617021274E-2</v>
      </c>
    </row>
    <row r="33" spans="1:4">
      <c r="A33" s="38" t="s">
        <v>63</v>
      </c>
      <c r="B33" s="31">
        <v>0.1276595744680851</v>
      </c>
      <c r="C33" s="31">
        <v>0.27659574468085107</v>
      </c>
      <c r="D33" s="31">
        <v>0.20212765957446807</v>
      </c>
    </row>
    <row r="34" spans="1:4">
      <c r="A34" s="38" t="s">
        <v>79</v>
      </c>
      <c r="B34" s="31">
        <v>6.3829787234042548E-2</v>
      </c>
      <c r="C34" s="31">
        <v>0.10638297872340426</v>
      </c>
      <c r="D34" s="31">
        <v>8.5106382978723402E-2</v>
      </c>
    </row>
    <row r="35" spans="1:4">
      <c r="A35" s="38" t="s">
        <v>87</v>
      </c>
      <c r="B35" s="31">
        <v>6.3829787234042548E-2</v>
      </c>
      <c r="C35" s="31">
        <v>6.3829787234042548E-2</v>
      </c>
      <c r="D35" s="31">
        <v>6.3829787234042548E-2</v>
      </c>
    </row>
    <row r="36" spans="1:4">
      <c r="A36" s="38" t="s">
        <v>56</v>
      </c>
      <c r="B36" s="31">
        <v>0.31914893617021278</v>
      </c>
      <c r="C36" s="31">
        <v>0.25531914893617019</v>
      </c>
      <c r="D36" s="31">
        <v>0.28723404255319152</v>
      </c>
    </row>
    <row r="37" spans="1:4">
      <c r="A37" s="38" t="s">
        <v>302</v>
      </c>
      <c r="B37" s="31">
        <v>1</v>
      </c>
      <c r="C37" s="31">
        <v>1</v>
      </c>
      <c r="D37" s="31">
        <v>1</v>
      </c>
    </row>
  </sheetData>
  <mergeCells count="4">
    <mergeCell ref="A10:D10"/>
    <mergeCell ref="A18:D18"/>
    <mergeCell ref="A25:D25"/>
    <mergeCell ref="A3:D3"/>
  </mergeCells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"/>
  <sheetViews>
    <sheetView workbookViewId="0"/>
  </sheetViews>
  <sheetFormatPr defaultRowHeight="13.8"/>
  <cols>
    <col min="1" max="1" width="12" customWidth="1"/>
    <col min="2" max="2" width="18" customWidth="1"/>
    <col min="3" max="3" width="34" customWidth="1"/>
    <col min="4" max="4" width="24" customWidth="1"/>
    <col min="5" max="5" width="52" customWidth="1"/>
    <col min="6" max="6" width="58" customWidth="1"/>
    <col min="7" max="8" width="16" customWidth="1"/>
    <col min="9" max="9" width="18" customWidth="1"/>
    <col min="10" max="10" width="22" customWidth="1"/>
  </cols>
  <sheetData>
    <row r="1" spans="1:10" ht="27.6">
      <c r="A1" s="6" t="s">
        <v>138</v>
      </c>
      <c r="B1" s="7" t="s">
        <v>139</v>
      </c>
      <c r="C1" s="7" t="s">
        <v>140</v>
      </c>
      <c r="D1" s="7" t="s">
        <v>141</v>
      </c>
      <c r="E1" s="7" t="s">
        <v>142</v>
      </c>
      <c r="F1" s="7" t="s">
        <v>143</v>
      </c>
      <c r="G1" s="7" t="s">
        <v>144</v>
      </c>
      <c r="H1" s="7" t="s">
        <v>145</v>
      </c>
      <c r="I1" s="7" t="s">
        <v>146</v>
      </c>
      <c r="J1" s="8" t="s">
        <v>147</v>
      </c>
    </row>
    <row r="2" spans="1:10">
      <c r="A2" s="12" t="s">
        <v>148</v>
      </c>
      <c r="B2" s="3" t="s">
        <v>103</v>
      </c>
      <c r="C2" s="3" t="s">
        <v>0</v>
      </c>
      <c r="D2" s="3" t="s">
        <v>149</v>
      </c>
      <c r="E2" s="4" t="s">
        <v>150</v>
      </c>
      <c r="F2" s="4" t="s">
        <v>151</v>
      </c>
      <c r="G2" s="3">
        <v>217</v>
      </c>
      <c r="H2" s="3">
        <v>0</v>
      </c>
      <c r="I2" s="3">
        <v>0</v>
      </c>
      <c r="J2" s="28">
        <v>217</v>
      </c>
    </row>
    <row r="3" spans="1:10">
      <c r="A3" s="12" t="s">
        <v>148</v>
      </c>
      <c r="B3" s="3" t="s">
        <v>104</v>
      </c>
      <c r="C3" s="3" t="s">
        <v>1</v>
      </c>
      <c r="D3" s="3" t="s">
        <v>152</v>
      </c>
      <c r="E3" s="4" t="s">
        <v>153</v>
      </c>
      <c r="F3" s="4" t="s">
        <v>154</v>
      </c>
      <c r="G3" s="3">
        <v>217</v>
      </c>
      <c r="H3" s="3">
        <v>0</v>
      </c>
      <c r="I3" s="3">
        <v>0</v>
      </c>
      <c r="J3" s="28">
        <v>217</v>
      </c>
    </row>
    <row r="4" spans="1:10">
      <c r="A4" s="12" t="s">
        <v>148</v>
      </c>
      <c r="B4" s="3" t="s">
        <v>105</v>
      </c>
      <c r="C4" s="3" t="s">
        <v>2</v>
      </c>
      <c r="D4" s="3" t="s">
        <v>152</v>
      </c>
      <c r="E4" s="4" t="s">
        <v>155</v>
      </c>
      <c r="F4" s="4" t="s">
        <v>156</v>
      </c>
      <c r="G4" s="3">
        <v>217</v>
      </c>
      <c r="H4" s="3">
        <v>0</v>
      </c>
      <c r="I4" s="3">
        <v>0</v>
      </c>
      <c r="J4" s="28">
        <v>217</v>
      </c>
    </row>
    <row r="5" spans="1:10">
      <c r="A5" s="12" t="s">
        <v>148</v>
      </c>
      <c r="B5" s="3" t="s">
        <v>106</v>
      </c>
      <c r="C5" s="3" t="s">
        <v>3</v>
      </c>
      <c r="D5" s="3" t="s">
        <v>157</v>
      </c>
      <c r="E5" s="4" t="s">
        <v>158</v>
      </c>
      <c r="F5" s="4" t="s">
        <v>159</v>
      </c>
      <c r="G5" s="3">
        <v>217</v>
      </c>
      <c r="H5" s="3">
        <v>0</v>
      </c>
      <c r="I5" s="3">
        <v>0</v>
      </c>
      <c r="J5" s="28">
        <v>217</v>
      </c>
    </row>
    <row r="6" spans="1:10" ht="27.6">
      <c r="A6" s="12" t="s">
        <v>148</v>
      </c>
      <c r="B6" s="3" t="s">
        <v>107</v>
      </c>
      <c r="C6" s="3" t="s">
        <v>4</v>
      </c>
      <c r="D6" s="3" t="s">
        <v>160</v>
      </c>
      <c r="E6" s="4" t="s">
        <v>161</v>
      </c>
      <c r="F6" s="4" t="s">
        <v>162</v>
      </c>
      <c r="G6" s="3">
        <v>217</v>
      </c>
      <c r="H6" s="3">
        <v>0</v>
      </c>
      <c r="I6" s="3">
        <v>0</v>
      </c>
      <c r="J6" s="28">
        <v>217</v>
      </c>
    </row>
    <row r="7" spans="1:10">
      <c r="A7" s="12" t="s">
        <v>148</v>
      </c>
      <c r="B7" s="3" t="s">
        <v>108</v>
      </c>
      <c r="C7" s="3" t="s">
        <v>7</v>
      </c>
      <c r="D7" s="3" t="s">
        <v>163</v>
      </c>
      <c r="E7" s="4" t="s">
        <v>164</v>
      </c>
      <c r="F7" s="4" t="s">
        <v>165</v>
      </c>
      <c r="G7" s="3">
        <v>217</v>
      </c>
      <c r="H7" s="3">
        <v>0</v>
      </c>
      <c r="I7" s="3">
        <v>1</v>
      </c>
      <c r="J7" s="28">
        <v>216</v>
      </c>
    </row>
    <row r="8" spans="1:10" ht="27.6">
      <c r="A8" s="12" t="s">
        <v>148</v>
      </c>
      <c r="B8" s="3" t="s">
        <v>109</v>
      </c>
      <c r="C8" s="3" t="s">
        <v>8</v>
      </c>
      <c r="D8" s="3" t="s">
        <v>163</v>
      </c>
      <c r="E8" s="4" t="s">
        <v>166</v>
      </c>
      <c r="F8" s="4" t="s">
        <v>165</v>
      </c>
      <c r="G8" s="3">
        <v>217</v>
      </c>
      <c r="H8" s="3">
        <v>0</v>
      </c>
      <c r="I8" s="3">
        <v>7</v>
      </c>
      <c r="J8" s="28">
        <v>210</v>
      </c>
    </row>
    <row r="9" spans="1:10">
      <c r="A9" s="12" t="s">
        <v>148</v>
      </c>
      <c r="B9" s="3" t="s">
        <v>110</v>
      </c>
      <c r="C9" s="3" t="s">
        <v>9</v>
      </c>
      <c r="D9" s="3" t="s">
        <v>167</v>
      </c>
      <c r="E9" s="4" t="s">
        <v>168</v>
      </c>
      <c r="F9" s="4" t="s">
        <v>169</v>
      </c>
      <c r="G9" s="3">
        <v>217</v>
      </c>
      <c r="H9" s="3">
        <v>0</v>
      </c>
      <c r="I9" s="3">
        <v>0</v>
      </c>
      <c r="J9" s="28">
        <v>217</v>
      </c>
    </row>
    <row r="10" spans="1:10" ht="27.6">
      <c r="A10" s="12" t="s">
        <v>148</v>
      </c>
      <c r="B10" s="3" t="s">
        <v>111</v>
      </c>
      <c r="C10" s="3" t="s">
        <v>10</v>
      </c>
      <c r="D10" s="3" t="s">
        <v>170</v>
      </c>
      <c r="E10" s="4" t="s">
        <v>171</v>
      </c>
      <c r="F10" s="4" t="s">
        <v>172</v>
      </c>
      <c r="G10" s="3">
        <v>217</v>
      </c>
      <c r="H10" s="3">
        <v>0</v>
      </c>
      <c r="I10" s="3">
        <v>14</v>
      </c>
      <c r="J10" s="28">
        <v>203</v>
      </c>
    </row>
    <row r="11" spans="1:10" ht="27.6">
      <c r="A11" s="12" t="s">
        <v>148</v>
      </c>
      <c r="B11" s="3" t="s">
        <v>112</v>
      </c>
      <c r="C11" s="3" t="s">
        <v>11</v>
      </c>
      <c r="D11" s="3" t="s">
        <v>170</v>
      </c>
      <c r="E11" s="4" t="s">
        <v>173</v>
      </c>
      <c r="F11" s="4" t="s">
        <v>174</v>
      </c>
      <c r="G11" s="3">
        <v>217</v>
      </c>
      <c r="H11" s="3">
        <v>0</v>
      </c>
      <c r="I11" s="3">
        <v>30</v>
      </c>
      <c r="J11" s="28">
        <v>187</v>
      </c>
    </row>
    <row r="12" spans="1:10" ht="27.6">
      <c r="A12" s="12" t="s">
        <v>148</v>
      </c>
      <c r="B12" s="3" t="s">
        <v>113</v>
      </c>
      <c r="C12" s="3" t="s">
        <v>12</v>
      </c>
      <c r="D12" s="3" t="s">
        <v>175</v>
      </c>
      <c r="E12" s="4" t="s">
        <v>176</v>
      </c>
      <c r="F12" s="4" t="s">
        <v>177</v>
      </c>
      <c r="G12" s="3">
        <v>217</v>
      </c>
      <c r="H12" s="3">
        <v>0</v>
      </c>
      <c r="I12" s="3">
        <v>6</v>
      </c>
      <c r="J12" s="28">
        <v>211</v>
      </c>
    </row>
    <row r="13" spans="1:10" ht="27.6">
      <c r="A13" s="12" t="s">
        <v>148</v>
      </c>
      <c r="B13" s="3" t="s">
        <v>114</v>
      </c>
      <c r="C13" s="3" t="s">
        <v>13</v>
      </c>
      <c r="D13" s="3" t="s">
        <v>178</v>
      </c>
      <c r="E13" s="4" t="s">
        <v>179</v>
      </c>
      <c r="F13" s="4" t="s">
        <v>180</v>
      </c>
      <c r="G13" s="3">
        <v>217</v>
      </c>
      <c r="H13" s="3">
        <v>0</v>
      </c>
      <c r="I13" s="3">
        <v>0</v>
      </c>
      <c r="J13" s="28">
        <v>217</v>
      </c>
    </row>
    <row r="14" spans="1:10" ht="27.6">
      <c r="A14" s="12" t="s">
        <v>148</v>
      </c>
      <c r="B14" s="3" t="s">
        <v>115</v>
      </c>
      <c r="C14" s="3" t="s">
        <v>14</v>
      </c>
      <c r="D14" s="3" t="s">
        <v>178</v>
      </c>
      <c r="E14" s="4" t="s">
        <v>181</v>
      </c>
      <c r="F14" s="4" t="s">
        <v>182</v>
      </c>
      <c r="G14" s="3">
        <v>217</v>
      </c>
      <c r="H14" s="3">
        <v>0</v>
      </c>
      <c r="I14" s="3">
        <v>7</v>
      </c>
      <c r="J14" s="28">
        <v>210</v>
      </c>
    </row>
    <row r="15" spans="1:10" ht="27.6">
      <c r="A15" s="12" t="s">
        <v>148</v>
      </c>
      <c r="B15" s="3" t="s">
        <v>116</v>
      </c>
      <c r="C15" s="3" t="s">
        <v>15</v>
      </c>
      <c r="D15" s="3" t="s">
        <v>183</v>
      </c>
      <c r="E15" s="4" t="s">
        <v>184</v>
      </c>
      <c r="F15" s="4" t="s">
        <v>185</v>
      </c>
      <c r="G15" s="3">
        <v>217</v>
      </c>
      <c r="H15" s="3">
        <v>0</v>
      </c>
      <c r="I15" s="3">
        <v>23</v>
      </c>
      <c r="J15" s="28">
        <v>194</v>
      </c>
    </row>
    <row r="16" spans="1:10" ht="27.6">
      <c r="A16" s="12" t="s">
        <v>148</v>
      </c>
      <c r="B16" s="3" t="s">
        <v>117</v>
      </c>
      <c r="C16" s="3" t="s">
        <v>16</v>
      </c>
      <c r="D16" s="3" t="s">
        <v>183</v>
      </c>
      <c r="E16" s="4" t="s">
        <v>186</v>
      </c>
      <c r="F16" s="4" t="s">
        <v>187</v>
      </c>
      <c r="G16" s="3">
        <v>217</v>
      </c>
      <c r="H16" s="3">
        <v>0</v>
      </c>
      <c r="I16" s="3">
        <v>27</v>
      </c>
      <c r="J16" s="28">
        <v>190</v>
      </c>
    </row>
    <row r="17" spans="1:10">
      <c r="A17" s="12" t="s">
        <v>148</v>
      </c>
      <c r="B17" s="3" t="s">
        <v>118</v>
      </c>
      <c r="C17" s="3" t="s">
        <v>17</v>
      </c>
      <c r="D17" s="3" t="s">
        <v>183</v>
      </c>
      <c r="E17" s="4" t="s">
        <v>188</v>
      </c>
      <c r="F17" s="4" t="s">
        <v>185</v>
      </c>
      <c r="G17" s="3">
        <v>217</v>
      </c>
      <c r="H17" s="3">
        <v>0</v>
      </c>
      <c r="I17" s="3">
        <v>22</v>
      </c>
      <c r="J17" s="28">
        <v>195</v>
      </c>
    </row>
    <row r="18" spans="1:10">
      <c r="A18" s="12" t="s">
        <v>148</v>
      </c>
      <c r="B18" s="3" t="s">
        <v>119</v>
      </c>
      <c r="C18" s="3" t="s">
        <v>18</v>
      </c>
      <c r="D18" s="3" t="s">
        <v>189</v>
      </c>
      <c r="E18" s="4" t="s">
        <v>190</v>
      </c>
      <c r="F18" s="4" t="s">
        <v>191</v>
      </c>
      <c r="G18" s="3">
        <v>217</v>
      </c>
      <c r="H18" s="3">
        <v>0</v>
      </c>
      <c r="I18" s="3">
        <v>0</v>
      </c>
      <c r="J18" s="28">
        <v>217</v>
      </c>
    </row>
    <row r="19" spans="1:10" ht="27.6">
      <c r="A19" s="12" t="s">
        <v>148</v>
      </c>
      <c r="B19" s="3" t="s">
        <v>120</v>
      </c>
      <c r="C19" s="3" t="s">
        <v>19</v>
      </c>
      <c r="D19" s="3" t="s">
        <v>192</v>
      </c>
      <c r="E19" s="4" t="s">
        <v>193</v>
      </c>
      <c r="F19" s="4" t="s">
        <v>194</v>
      </c>
      <c r="G19" s="3">
        <v>217</v>
      </c>
      <c r="H19" s="3">
        <v>112</v>
      </c>
      <c r="I19" s="3">
        <v>0</v>
      </c>
      <c r="J19" s="28">
        <v>105</v>
      </c>
    </row>
    <row r="20" spans="1:10">
      <c r="A20" s="12" t="s">
        <v>148</v>
      </c>
      <c r="B20" s="3" t="s">
        <v>121</v>
      </c>
      <c r="C20" s="3" t="s">
        <v>20</v>
      </c>
      <c r="D20" s="3" t="s">
        <v>195</v>
      </c>
      <c r="E20" s="4" t="s">
        <v>196</v>
      </c>
      <c r="F20" s="4" t="s">
        <v>197</v>
      </c>
      <c r="G20" s="3">
        <v>217</v>
      </c>
      <c r="H20" s="3">
        <v>0</v>
      </c>
      <c r="I20" s="3">
        <v>0</v>
      </c>
      <c r="J20" s="28">
        <v>217</v>
      </c>
    </row>
    <row r="21" spans="1:10" ht="27.6">
      <c r="A21" s="12" t="s">
        <v>148</v>
      </c>
      <c r="B21" s="3" t="s">
        <v>122</v>
      </c>
      <c r="C21" s="3" t="s">
        <v>21</v>
      </c>
      <c r="D21" s="3" t="s">
        <v>195</v>
      </c>
      <c r="E21" s="4" t="s">
        <v>198</v>
      </c>
      <c r="F21" s="4" t="s">
        <v>197</v>
      </c>
      <c r="G21" s="3">
        <v>217</v>
      </c>
      <c r="H21" s="3">
        <v>0</v>
      </c>
      <c r="I21" s="3">
        <v>0</v>
      </c>
      <c r="J21" s="28">
        <v>217</v>
      </c>
    </row>
    <row r="22" spans="1:10" ht="27.6">
      <c r="A22" s="12" t="s">
        <v>148</v>
      </c>
      <c r="B22" s="3" t="s">
        <v>123</v>
      </c>
      <c r="C22" s="3" t="s">
        <v>22</v>
      </c>
      <c r="D22" s="3" t="s">
        <v>199</v>
      </c>
      <c r="E22" s="4" t="s">
        <v>200</v>
      </c>
      <c r="F22" s="4" t="s">
        <v>201</v>
      </c>
      <c r="G22" s="3">
        <v>217</v>
      </c>
      <c r="H22" s="3">
        <v>0</v>
      </c>
      <c r="I22" s="3">
        <v>2</v>
      </c>
      <c r="J22" s="28">
        <v>215</v>
      </c>
    </row>
    <row r="23" spans="1:10">
      <c r="A23" s="12" t="s">
        <v>148</v>
      </c>
      <c r="B23" s="3" t="s">
        <v>124</v>
      </c>
      <c r="C23" s="3" t="s">
        <v>23</v>
      </c>
      <c r="D23" s="3" t="s">
        <v>199</v>
      </c>
      <c r="E23" s="4" t="s">
        <v>202</v>
      </c>
      <c r="F23" s="4" t="s">
        <v>201</v>
      </c>
      <c r="G23" s="3">
        <v>217</v>
      </c>
      <c r="H23" s="3">
        <v>0</v>
      </c>
      <c r="I23" s="3">
        <v>2</v>
      </c>
      <c r="J23" s="28">
        <v>215</v>
      </c>
    </row>
    <row r="24" spans="1:10" ht="27.6">
      <c r="A24" s="12" t="s">
        <v>148</v>
      </c>
      <c r="B24" s="3" t="s">
        <v>125</v>
      </c>
      <c r="C24" s="3" t="s">
        <v>24</v>
      </c>
      <c r="D24" s="3" t="s">
        <v>199</v>
      </c>
      <c r="E24" s="4" t="s">
        <v>203</v>
      </c>
      <c r="F24" s="4" t="s">
        <v>201</v>
      </c>
      <c r="G24" s="3">
        <v>217</v>
      </c>
      <c r="H24" s="3">
        <v>0</v>
      </c>
      <c r="I24" s="3">
        <v>2</v>
      </c>
      <c r="J24" s="28">
        <v>215</v>
      </c>
    </row>
    <row r="25" spans="1:10" ht="27.6">
      <c r="A25" s="12" t="s">
        <v>148</v>
      </c>
      <c r="B25" s="3" t="s">
        <v>126</v>
      </c>
      <c r="C25" s="3" t="s">
        <v>25</v>
      </c>
      <c r="D25" s="3" t="s">
        <v>199</v>
      </c>
      <c r="E25" s="4" t="s">
        <v>204</v>
      </c>
      <c r="F25" s="4" t="s">
        <v>205</v>
      </c>
      <c r="G25" s="3">
        <v>217</v>
      </c>
      <c r="H25" s="3">
        <v>0</v>
      </c>
      <c r="I25" s="3">
        <v>0</v>
      </c>
      <c r="J25" s="28">
        <v>217</v>
      </c>
    </row>
    <row r="26" spans="1:10" ht="27.6">
      <c r="A26" s="12" t="s">
        <v>148</v>
      </c>
      <c r="B26" s="3" t="s">
        <v>127</v>
      </c>
      <c r="C26" s="3" t="s">
        <v>26</v>
      </c>
      <c r="D26" s="3" t="s">
        <v>206</v>
      </c>
      <c r="E26" s="4" t="s">
        <v>207</v>
      </c>
      <c r="F26" s="4" t="s">
        <v>208</v>
      </c>
      <c r="G26" s="3">
        <v>217</v>
      </c>
      <c r="H26" s="3">
        <v>157</v>
      </c>
      <c r="I26" s="3">
        <v>5</v>
      </c>
      <c r="J26" s="28">
        <v>55</v>
      </c>
    </row>
    <row r="27" spans="1:10">
      <c r="A27" s="12" t="s">
        <v>148</v>
      </c>
      <c r="B27" s="3" t="s">
        <v>128</v>
      </c>
      <c r="C27" s="3" t="s">
        <v>27</v>
      </c>
      <c r="D27" s="3" t="s">
        <v>199</v>
      </c>
      <c r="E27" s="4" t="s">
        <v>209</v>
      </c>
      <c r="F27" s="4" t="s">
        <v>210</v>
      </c>
      <c r="G27" s="3">
        <v>217</v>
      </c>
      <c r="H27" s="3">
        <v>0</v>
      </c>
      <c r="I27" s="3">
        <v>1</v>
      </c>
      <c r="J27" s="28">
        <v>216</v>
      </c>
    </row>
    <row r="28" spans="1:10" ht="27.6">
      <c r="A28" s="12" t="s">
        <v>148</v>
      </c>
      <c r="B28" s="3" t="s">
        <v>129</v>
      </c>
      <c r="C28" s="3" t="s">
        <v>28</v>
      </c>
      <c r="D28" s="3" t="s">
        <v>199</v>
      </c>
      <c r="E28" s="4" t="s">
        <v>211</v>
      </c>
      <c r="F28" s="4" t="s">
        <v>210</v>
      </c>
      <c r="G28" s="3">
        <v>217</v>
      </c>
      <c r="H28" s="3">
        <v>0</v>
      </c>
      <c r="I28" s="3">
        <v>0</v>
      </c>
      <c r="J28" s="28">
        <v>217</v>
      </c>
    </row>
    <row r="29" spans="1:10" ht="27.6">
      <c r="A29" s="12" t="s">
        <v>148</v>
      </c>
      <c r="B29" s="3" t="s">
        <v>130</v>
      </c>
      <c r="C29" s="3" t="s">
        <v>29</v>
      </c>
      <c r="D29" s="3" t="s">
        <v>212</v>
      </c>
      <c r="E29" s="4" t="s">
        <v>213</v>
      </c>
      <c r="F29" s="4" t="s">
        <v>210</v>
      </c>
      <c r="G29" s="3">
        <v>217</v>
      </c>
      <c r="H29" s="3">
        <v>0</v>
      </c>
      <c r="I29" s="3">
        <v>2</v>
      </c>
      <c r="J29" s="28">
        <v>215</v>
      </c>
    </row>
    <row r="30" spans="1:10" ht="27.6">
      <c r="A30" s="12" t="s">
        <v>148</v>
      </c>
      <c r="B30" s="3" t="s">
        <v>131</v>
      </c>
      <c r="C30" s="3" t="s">
        <v>30</v>
      </c>
      <c r="D30" s="3" t="s">
        <v>212</v>
      </c>
      <c r="E30" s="4" t="s">
        <v>214</v>
      </c>
      <c r="F30" s="4" t="s">
        <v>215</v>
      </c>
      <c r="G30" s="3">
        <v>217</v>
      </c>
      <c r="H30" s="3">
        <v>43</v>
      </c>
      <c r="I30" s="3">
        <v>3</v>
      </c>
      <c r="J30" s="28">
        <v>171</v>
      </c>
    </row>
    <row r="31" spans="1:10" ht="27.6">
      <c r="A31" s="12" t="s">
        <v>148</v>
      </c>
      <c r="B31" s="3" t="s">
        <v>132</v>
      </c>
      <c r="C31" s="3" t="s">
        <v>31</v>
      </c>
      <c r="D31" s="3" t="s">
        <v>216</v>
      </c>
      <c r="E31" s="4" t="s">
        <v>217</v>
      </c>
      <c r="F31" s="4" t="s">
        <v>218</v>
      </c>
      <c r="G31" s="3">
        <v>217</v>
      </c>
      <c r="H31" s="3">
        <v>0</v>
      </c>
      <c r="I31" s="3">
        <v>1</v>
      </c>
      <c r="J31" s="28">
        <v>216</v>
      </c>
    </row>
    <row r="32" spans="1:10" ht="27.6">
      <c r="A32" s="12" t="s">
        <v>148</v>
      </c>
      <c r="B32" s="3" t="s">
        <v>133</v>
      </c>
      <c r="C32" s="3" t="s">
        <v>32</v>
      </c>
      <c r="D32" s="3" t="s">
        <v>216</v>
      </c>
      <c r="E32" s="4" t="s">
        <v>219</v>
      </c>
      <c r="F32" s="4" t="s">
        <v>218</v>
      </c>
      <c r="G32" s="3">
        <v>217</v>
      </c>
      <c r="H32" s="3">
        <v>0</v>
      </c>
      <c r="I32" s="3">
        <v>1</v>
      </c>
      <c r="J32" s="28">
        <v>216</v>
      </c>
    </row>
    <row r="33" spans="1:10">
      <c r="A33" s="12" t="s">
        <v>148</v>
      </c>
      <c r="B33" s="3" t="s">
        <v>134</v>
      </c>
      <c r="C33" s="3" t="s">
        <v>33</v>
      </c>
      <c r="D33" s="3" t="s">
        <v>216</v>
      </c>
      <c r="E33" s="4" t="s">
        <v>220</v>
      </c>
      <c r="F33" s="4" t="s">
        <v>221</v>
      </c>
      <c r="G33" s="3">
        <v>217</v>
      </c>
      <c r="H33" s="3">
        <v>0</v>
      </c>
      <c r="I33" s="3">
        <v>0</v>
      </c>
      <c r="J33" s="28">
        <v>217</v>
      </c>
    </row>
    <row r="34" spans="1:10" ht="27.6">
      <c r="A34" s="12" t="s">
        <v>148</v>
      </c>
      <c r="B34" s="3" t="s">
        <v>135</v>
      </c>
      <c r="C34" s="3" t="s">
        <v>34</v>
      </c>
      <c r="D34" s="3" t="s">
        <v>216</v>
      </c>
      <c r="E34" s="4" t="s">
        <v>222</v>
      </c>
      <c r="F34" s="4" t="s">
        <v>218</v>
      </c>
      <c r="G34" s="3">
        <v>217</v>
      </c>
      <c r="H34" s="3">
        <v>0</v>
      </c>
      <c r="I34" s="3">
        <v>7</v>
      </c>
      <c r="J34" s="28">
        <v>210</v>
      </c>
    </row>
    <row r="35" spans="1:10" ht="27.6">
      <c r="A35" s="12" t="s">
        <v>148</v>
      </c>
      <c r="B35" s="3" t="s">
        <v>136</v>
      </c>
      <c r="C35" s="3" t="s">
        <v>35</v>
      </c>
      <c r="D35" s="3" t="s">
        <v>216</v>
      </c>
      <c r="E35" s="4" t="s">
        <v>223</v>
      </c>
      <c r="F35" s="4" t="s">
        <v>224</v>
      </c>
      <c r="G35" s="3">
        <v>217</v>
      </c>
      <c r="H35" s="3">
        <v>0</v>
      </c>
      <c r="I35" s="3">
        <v>1</v>
      </c>
      <c r="J35" s="28">
        <v>216</v>
      </c>
    </row>
    <row r="36" spans="1:10" ht="27.6">
      <c r="A36" s="12" t="s">
        <v>148</v>
      </c>
      <c r="B36" s="3" t="s">
        <v>137</v>
      </c>
      <c r="C36" s="3" t="s">
        <v>36</v>
      </c>
      <c r="D36" s="3" t="s">
        <v>225</v>
      </c>
      <c r="E36" s="4" t="s">
        <v>226</v>
      </c>
      <c r="F36" s="4" t="s">
        <v>227</v>
      </c>
      <c r="G36" s="3">
        <v>217</v>
      </c>
      <c r="H36" s="3">
        <v>0</v>
      </c>
      <c r="I36" s="3">
        <v>0</v>
      </c>
      <c r="J36" s="28">
        <v>217</v>
      </c>
    </row>
    <row r="37" spans="1:10">
      <c r="A37" s="12" t="s">
        <v>228</v>
      </c>
      <c r="B37" s="3" t="s">
        <v>229</v>
      </c>
      <c r="C37" s="3" t="s">
        <v>5</v>
      </c>
      <c r="D37" s="3" t="s">
        <v>230</v>
      </c>
      <c r="E37" s="4" t="s">
        <v>231</v>
      </c>
      <c r="F37" s="4" t="s">
        <v>232</v>
      </c>
      <c r="G37" s="3">
        <v>217</v>
      </c>
      <c r="H37" s="3"/>
      <c r="I37" s="3"/>
      <c r="J37" s="28" t="s">
        <v>233</v>
      </c>
    </row>
    <row r="38" spans="1:10">
      <c r="A38" s="12" t="s">
        <v>228</v>
      </c>
      <c r="B38" s="3" t="s">
        <v>234</v>
      </c>
      <c r="C38" s="3" t="s">
        <v>6</v>
      </c>
      <c r="D38" s="3" t="s">
        <v>230</v>
      </c>
      <c r="E38" s="4" t="s">
        <v>235</v>
      </c>
      <c r="F38" s="4" t="s">
        <v>236</v>
      </c>
      <c r="G38" s="3">
        <v>217</v>
      </c>
      <c r="H38" s="3"/>
      <c r="I38" s="3"/>
      <c r="J38" s="28" t="s">
        <v>233</v>
      </c>
    </row>
    <row r="39" spans="1:10">
      <c r="A39" s="12" t="s">
        <v>228</v>
      </c>
      <c r="B39" s="3" t="s">
        <v>237</v>
      </c>
      <c r="C39" s="3" t="s">
        <v>37</v>
      </c>
      <c r="D39" s="3" t="s">
        <v>230</v>
      </c>
      <c r="E39" s="4" t="s">
        <v>238</v>
      </c>
      <c r="F39" s="4" t="s">
        <v>239</v>
      </c>
      <c r="G39" s="3">
        <v>217</v>
      </c>
      <c r="H39" s="3"/>
      <c r="I39" s="3"/>
      <c r="J39" s="28" t="s">
        <v>233</v>
      </c>
    </row>
    <row r="40" spans="1:10" ht="27.6">
      <c r="A40" s="12" t="s">
        <v>228</v>
      </c>
      <c r="B40" s="3" t="s">
        <v>237</v>
      </c>
      <c r="C40" s="3" t="s">
        <v>38</v>
      </c>
      <c r="D40" s="3" t="s">
        <v>230</v>
      </c>
      <c r="E40" s="4" t="s">
        <v>240</v>
      </c>
      <c r="F40" s="4" t="s">
        <v>241</v>
      </c>
      <c r="G40" s="3">
        <v>217</v>
      </c>
      <c r="H40" s="3"/>
      <c r="I40" s="3"/>
      <c r="J40" s="28" t="s">
        <v>233</v>
      </c>
    </row>
    <row r="41" spans="1:10" ht="27.6">
      <c r="A41" s="12" t="s">
        <v>228</v>
      </c>
      <c r="B41" s="3" t="s">
        <v>237</v>
      </c>
      <c r="C41" s="3" t="s">
        <v>39</v>
      </c>
      <c r="D41" s="3" t="s">
        <v>230</v>
      </c>
      <c r="E41" s="4" t="s">
        <v>242</v>
      </c>
      <c r="F41" s="4" t="s">
        <v>243</v>
      </c>
      <c r="G41" s="3">
        <v>217</v>
      </c>
      <c r="H41" s="3"/>
      <c r="I41" s="3"/>
      <c r="J41" s="28" t="s">
        <v>233</v>
      </c>
    </row>
    <row r="42" spans="1:10">
      <c r="A42" s="12" t="s">
        <v>228</v>
      </c>
      <c r="B42" s="3" t="s">
        <v>237</v>
      </c>
      <c r="C42" s="3" t="s">
        <v>40</v>
      </c>
      <c r="D42" s="3" t="s">
        <v>230</v>
      </c>
      <c r="E42" s="4" t="s">
        <v>244</v>
      </c>
      <c r="F42" s="4" t="s">
        <v>245</v>
      </c>
      <c r="G42" s="3">
        <v>217</v>
      </c>
      <c r="H42" s="3"/>
      <c r="I42" s="3"/>
      <c r="J42" s="28" t="s">
        <v>233</v>
      </c>
    </row>
    <row r="43" spans="1:10">
      <c r="A43" s="12" t="s">
        <v>228</v>
      </c>
      <c r="B43" s="3" t="s">
        <v>237</v>
      </c>
      <c r="C43" s="3" t="s">
        <v>41</v>
      </c>
      <c r="D43" s="3" t="s">
        <v>230</v>
      </c>
      <c r="E43" s="4" t="s">
        <v>246</v>
      </c>
      <c r="F43" s="4" t="s">
        <v>247</v>
      </c>
      <c r="G43" s="3">
        <v>217</v>
      </c>
      <c r="H43" s="3"/>
      <c r="I43" s="3"/>
      <c r="J43" s="28" t="s">
        <v>233</v>
      </c>
    </row>
    <row r="44" spans="1:10" ht="27.6">
      <c r="A44" s="12" t="s">
        <v>228</v>
      </c>
      <c r="B44" s="3" t="s">
        <v>237</v>
      </c>
      <c r="C44" s="3" t="s">
        <v>42</v>
      </c>
      <c r="D44" s="3" t="s">
        <v>230</v>
      </c>
      <c r="E44" s="4" t="s">
        <v>248</v>
      </c>
      <c r="F44" s="4" t="s">
        <v>249</v>
      </c>
      <c r="G44" s="3">
        <v>217</v>
      </c>
      <c r="H44" s="3"/>
      <c r="I44" s="3"/>
      <c r="J44" s="28" t="s">
        <v>233</v>
      </c>
    </row>
    <row r="45" spans="1:10" ht="27.6">
      <c r="A45" s="12" t="s">
        <v>228</v>
      </c>
      <c r="B45" s="3" t="s">
        <v>237</v>
      </c>
      <c r="C45" s="3" t="s">
        <v>43</v>
      </c>
      <c r="D45" s="3" t="s">
        <v>230</v>
      </c>
      <c r="E45" s="4" t="s">
        <v>250</v>
      </c>
      <c r="F45" s="4" t="s">
        <v>251</v>
      </c>
      <c r="G45" s="3">
        <v>217</v>
      </c>
      <c r="H45" s="3"/>
      <c r="I45" s="3"/>
      <c r="J45" s="28" t="s">
        <v>233</v>
      </c>
    </row>
    <row r="46" spans="1:10">
      <c r="A46" s="12" t="s">
        <v>228</v>
      </c>
      <c r="B46" s="3" t="s">
        <v>237</v>
      </c>
      <c r="C46" s="3" t="s">
        <v>44</v>
      </c>
      <c r="D46" s="3" t="s">
        <v>230</v>
      </c>
      <c r="E46" s="4" t="s">
        <v>252</v>
      </c>
      <c r="F46" s="4" t="s">
        <v>253</v>
      </c>
      <c r="G46" s="3">
        <v>217</v>
      </c>
      <c r="H46" s="3"/>
      <c r="I46" s="3"/>
      <c r="J46" s="28" t="s">
        <v>233</v>
      </c>
    </row>
    <row r="47" spans="1:10">
      <c r="A47" s="12" t="s">
        <v>228</v>
      </c>
      <c r="B47" s="3" t="s">
        <v>237</v>
      </c>
      <c r="C47" s="3" t="s">
        <v>45</v>
      </c>
      <c r="D47" s="3" t="s">
        <v>230</v>
      </c>
      <c r="E47" s="4" t="s">
        <v>254</v>
      </c>
      <c r="F47" s="4" t="s">
        <v>255</v>
      </c>
      <c r="G47" s="3">
        <v>217</v>
      </c>
      <c r="H47" s="3"/>
      <c r="I47" s="3"/>
      <c r="J47" s="28" t="s">
        <v>233</v>
      </c>
    </row>
    <row r="48" spans="1:10">
      <c r="A48" s="12" t="s">
        <v>228</v>
      </c>
      <c r="B48" s="3" t="s">
        <v>237</v>
      </c>
      <c r="C48" s="3" t="s">
        <v>46</v>
      </c>
      <c r="D48" s="3" t="s">
        <v>230</v>
      </c>
      <c r="E48" s="4" t="s">
        <v>256</v>
      </c>
      <c r="F48" s="4" t="s">
        <v>257</v>
      </c>
      <c r="G48" s="3">
        <v>217</v>
      </c>
      <c r="H48" s="3"/>
      <c r="I48" s="3"/>
      <c r="J48" s="28" t="s">
        <v>233</v>
      </c>
    </row>
    <row r="49" spans="1:10">
      <c r="A49" s="12" t="s">
        <v>228</v>
      </c>
      <c r="B49" s="3" t="s">
        <v>237</v>
      </c>
      <c r="C49" s="3" t="s">
        <v>47</v>
      </c>
      <c r="D49" s="3" t="s">
        <v>230</v>
      </c>
      <c r="E49" s="4" t="s">
        <v>258</v>
      </c>
      <c r="F49" s="4" t="s">
        <v>259</v>
      </c>
      <c r="G49" s="3">
        <v>217</v>
      </c>
      <c r="H49" s="3"/>
      <c r="I49" s="3"/>
      <c r="J49" s="28" t="s">
        <v>233</v>
      </c>
    </row>
    <row r="50" spans="1:10">
      <c r="A50" s="19" t="s">
        <v>228</v>
      </c>
      <c r="B50" s="20" t="s">
        <v>237</v>
      </c>
      <c r="C50" s="20" t="s">
        <v>48</v>
      </c>
      <c r="D50" s="20" t="s">
        <v>230</v>
      </c>
      <c r="E50" s="30" t="s">
        <v>260</v>
      </c>
      <c r="F50" s="30" t="s">
        <v>261</v>
      </c>
      <c r="G50" s="20">
        <v>217</v>
      </c>
      <c r="H50" s="20"/>
      <c r="I50" s="20"/>
      <c r="J50" s="29" t="s">
        <v>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Clean_Working</vt:lpstr>
      <vt:lpstr>Completeness_Audit</vt:lpstr>
      <vt:lpstr>Validation_Audit</vt:lpstr>
      <vt:lpstr>Outlier_Audit</vt:lpstr>
      <vt:lpstr>EDA_Overview</vt:lpstr>
      <vt:lpstr>EDA_Performance</vt:lpstr>
      <vt:lpstr>EDA_Finance</vt:lpstr>
      <vt:lpstr>EDA_Constraints</vt:lpstr>
      <vt:lpstr>Variable_Dictionary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Mwesigwa</cp:lastModifiedBy>
  <dcterms:modified xsi:type="dcterms:W3CDTF">2026-09-11T11:20:25Z</dcterms:modified>
</cp:coreProperties>
</file>